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structure.xml" ContentType="application/vnd.ms-excel.rdrichvaluestructure+xml"/>
  <Override PartName="/xl/richData/rdRichValueTypes.xml" ContentType="application/vnd.ms-excel.rdrichvaluetypes+xml"/>
  <Override PartName="/xl/richData/richValueRel.xml" ContentType="application/vnd.ms-excel.richvaluerel+xml"/>
  <Override PartName="/xl/richData/rdrichvalue.xml" ContentType="application/vnd.ms-excel.rdrichvalu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mc:AlternateContent xmlns:mc="http://schemas.openxmlformats.org/markup-compatibility/2006">
    <mc:Choice Requires="x15">
      <x15ac:absPath xmlns:x15ac="http://schemas.microsoft.com/office/spreadsheetml/2010/11/ac" url="https://d.docs.live.net/5501fd9886f96643/Desktop/"/>
    </mc:Choice>
  </mc:AlternateContent>
  <xr:revisionPtr revIDLastSave="13" documentId="13_ncr:1_{EA26473C-7E30-4127-9551-2149B51926C9}" xr6:coauthVersionLast="47" xr6:coauthVersionMax="47" xr10:uidLastSave="{6C813F91-FE9E-4FB1-BF58-CCE1DD3F22A0}"/>
  <bookViews>
    <workbookView xWindow="-110" yWindow="-110" windowWidth="19420" windowHeight="10300" activeTab="1" xr2:uid="{26D4546B-D2A1-4444-8EAF-A6228F96F0C1}"/>
  </bookViews>
  <sheets>
    <sheet name="pivot sheet" sheetId="5" r:id="rId1"/>
    <sheet name="customer report analysis" sheetId="6" r:id="rId2"/>
    <sheet name="Data" sheetId="2" r:id="rId3"/>
  </sheets>
  <definedNames>
    <definedName name="_xlnm._FilterDatabase" localSheetId="2" hidden="1">Data!$B$3:$H$1003</definedName>
    <definedName name="_xlcn.WorksheetConnection_project.xlsxcalls1" hidden="1">calls[]</definedName>
    <definedName name="_xlcn.WorksheetConnection_project.xlsxcustomers1" hidden="1">customers[]</definedName>
    <definedName name="Slicer_Representative">#N/A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s>
  <extLst>
    <ext xmlns:x14="http://schemas.microsoft.com/office/spreadsheetml/2009/9/main" uri="{876F7934-8845-4945-9796-88D515C7AA90}">
      <x14:pivotCaches>
        <pivotCache cacheId="9"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ls" name="calls" connection="WorksheetConnection_project.xlsx!calls"/>
          <x15:modelTable id="customers" name="customers" connection="WorksheetConnection_project.xlsx!customer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Lst>
</workbook>
</file>

<file path=xl/calcChain.xml><?xml version="1.0" encoding="utf-8"?>
<calcChain xmlns="http://schemas.openxmlformats.org/spreadsheetml/2006/main">
  <c r="V24" i="6" l="1"/>
  <c r="W24" i="6"/>
  <c r="X24" i="6"/>
  <c r="Y24" i="6"/>
  <c r="Z24" i="6"/>
  <c r="U24" i="6"/>
  <c r="U26" i="6"/>
  <c r="Z42" i="6"/>
  <c r="Y42" i="6"/>
  <c r="X42" i="6"/>
  <c r="W42" i="6"/>
  <c r="V42" i="6"/>
  <c r="U42" i="6"/>
  <c r="T42" i="6"/>
  <c r="Z41" i="6"/>
  <c r="Y41" i="6"/>
  <c r="X41" i="6"/>
  <c r="W41" i="6"/>
  <c r="V41" i="6"/>
  <c r="U41" i="6"/>
  <c r="T41" i="6"/>
  <c r="Z40" i="6"/>
  <c r="Y40" i="6"/>
  <c r="X40" i="6"/>
  <c r="W40" i="6"/>
  <c r="V40" i="6"/>
  <c r="U40" i="6"/>
  <c r="T40" i="6"/>
  <c r="Z39" i="6"/>
  <c r="Y39" i="6"/>
  <c r="X39" i="6"/>
  <c r="W39" i="6"/>
  <c r="V39" i="6"/>
  <c r="U39" i="6"/>
  <c r="T39" i="6"/>
  <c r="Z38" i="6"/>
  <c r="Y38" i="6"/>
  <c r="X38" i="6"/>
  <c r="W38" i="6"/>
  <c r="V38" i="6"/>
  <c r="U38" i="6"/>
  <c r="T38" i="6"/>
  <c r="T37" i="6"/>
  <c r="Z36" i="6"/>
  <c r="Y36" i="6"/>
  <c r="X36" i="6"/>
  <c r="W36" i="6"/>
  <c r="V36" i="6"/>
  <c r="U36" i="6"/>
  <c r="T36" i="6"/>
  <c r="Z35" i="6"/>
  <c r="Y35" i="6"/>
  <c r="X35" i="6"/>
  <c r="W35" i="6"/>
  <c r="V35" i="6"/>
  <c r="U35" i="6"/>
  <c r="T35" i="6"/>
  <c r="Z34" i="6"/>
  <c r="Y34" i="6"/>
  <c r="X34" i="6"/>
  <c r="W34" i="6"/>
  <c r="V34" i="6"/>
  <c r="U34" i="6"/>
  <c r="T34" i="6"/>
  <c r="Z33" i="6"/>
  <c r="Y33" i="6"/>
  <c r="X33" i="6"/>
  <c r="W33" i="6"/>
  <c r="V33" i="6"/>
  <c r="U33" i="6"/>
  <c r="T33" i="6"/>
  <c r="Z32" i="6"/>
  <c r="Y32" i="6"/>
  <c r="X32" i="6"/>
  <c r="W32" i="6"/>
  <c r="V32" i="6"/>
  <c r="U32" i="6"/>
  <c r="T32" i="6"/>
  <c r="Z31" i="6"/>
  <c r="Y31" i="6"/>
  <c r="X31" i="6"/>
  <c r="W31" i="6"/>
  <c r="V31" i="6"/>
  <c r="U31" i="6"/>
  <c r="T31" i="6"/>
  <c r="T30" i="6"/>
  <c r="Z29" i="6"/>
  <c r="Y29" i="6"/>
  <c r="X29" i="6"/>
  <c r="W29" i="6"/>
  <c r="V29" i="6"/>
  <c r="U29" i="6"/>
  <c r="T29" i="6"/>
  <c r="Z28" i="6"/>
  <c r="Y28" i="6"/>
  <c r="X28" i="6"/>
  <c r="V28" i="6"/>
  <c r="U28" i="6"/>
  <c r="T28" i="6"/>
  <c r="Z27" i="6"/>
  <c r="Y27" i="6"/>
  <c r="X27" i="6"/>
  <c r="W27" i="6"/>
  <c r="V27" i="6"/>
  <c r="U27" i="6"/>
  <c r="T27" i="6"/>
  <c r="Z26" i="6"/>
  <c r="Y26" i="6"/>
  <c r="X26" i="6"/>
  <c r="W26" i="6"/>
  <c r="V26" i="6"/>
  <c r="T26" i="6"/>
  <c r="T25" i="6"/>
  <c r="I30" i="5"/>
  <c r="I35" i="5" s="1"/>
  <c r="G34" i="5"/>
  <c r="E35" i="5"/>
  <c r="F35" i="5"/>
  <c r="G35" i="5"/>
  <c r="E36" i="5"/>
  <c r="F36" i="5"/>
  <c r="G36" i="5"/>
  <c r="E37" i="5"/>
  <c r="F37" i="5"/>
  <c r="G37" i="5"/>
  <c r="E38" i="5"/>
  <c r="F38" i="5"/>
  <c r="G38" i="5"/>
  <c r="F34" i="5"/>
  <c r="E34" i="5"/>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s="1"/>
  <c r="K6" i="2" a="1"/>
  <c r="K6" i="2" s="1"/>
  <c r="K7" i="2" a="1"/>
  <c r="K7" i="2" s="1"/>
  <c r="K8" i="2" a="1"/>
  <c r="K8" i="2" s="1"/>
  <c r="K9" i="2" a="1"/>
  <c r="K9" i="2" s="1"/>
  <c r="K10" i="2" a="1"/>
  <c r="K10" i="2" s="1"/>
  <c r="K11" i="2" a="1"/>
  <c r="K11" i="2" s="1"/>
  <c r="K12" i="2" a="1"/>
  <c r="K12" i="2" s="1"/>
  <c r="K13" i="2" a="1"/>
  <c r="K13" i="2" s="1"/>
  <c r="K14" i="2" a="1"/>
  <c r="K14" i="2" s="1"/>
  <c r="K15" i="2" a="1"/>
  <c r="K15" i="2" s="1"/>
  <c r="K16" i="2" a="1"/>
  <c r="K16" i="2" s="1"/>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s="1"/>
  <c r="K30" i="2" a="1"/>
  <c r="K30" i="2" s="1"/>
  <c r="K31" i="2" a="1"/>
  <c r="K31" i="2" s="1"/>
  <c r="K32" i="2" a="1"/>
  <c r="K32" i="2" s="1"/>
  <c r="K33" i="2" a="1"/>
  <c r="K33" i="2" s="1"/>
  <c r="K34" i="2" a="1"/>
  <c r="K34" i="2" s="1"/>
  <c r="K35" i="2" a="1"/>
  <c r="K35" i="2" s="1"/>
  <c r="K36" i="2" a="1"/>
  <c r="K36" i="2" s="1"/>
  <c r="K37" i="2" a="1"/>
  <c r="K37" i="2" s="1"/>
  <c r="K38" i="2" a="1"/>
  <c r="K38" i="2" s="1"/>
  <c r="K39" i="2" a="1"/>
  <c r="K39" i="2" s="1"/>
  <c r="K40" i="2" a="1"/>
  <c r="K40" i="2" s="1"/>
  <c r="K41" i="2" a="1"/>
  <c r="K41" i="2" s="1"/>
  <c r="K42" i="2" a="1"/>
  <c r="K42" i="2" s="1"/>
  <c r="K43" i="2" a="1"/>
  <c r="K43" i="2" s="1"/>
  <c r="K44" i="2" a="1"/>
  <c r="K44" i="2" s="1"/>
  <c r="K45" i="2" a="1"/>
  <c r="K45" i="2" s="1"/>
  <c r="K46" i="2" a="1"/>
  <c r="K46" i="2" s="1"/>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s="1"/>
  <c r="K60" i="2" a="1"/>
  <c r="K60" i="2" s="1"/>
  <c r="K61" i="2" a="1"/>
  <c r="K61" i="2" s="1"/>
  <c r="K62" i="2" a="1"/>
  <c r="K62" i="2" s="1"/>
  <c r="K63" i="2" a="1"/>
  <c r="K63" i="2" s="1"/>
  <c r="K64" i="2" a="1"/>
  <c r="K64" i="2" s="1"/>
  <c r="K65" i="2" a="1"/>
  <c r="K65" i="2" s="1"/>
  <c r="K66" i="2" a="1"/>
  <c r="K66" i="2" s="1"/>
  <c r="K67" i="2" a="1"/>
  <c r="K67" i="2" s="1"/>
  <c r="K68" i="2" a="1"/>
  <c r="K68" i="2" s="1"/>
  <c r="K69" i="2" a="1"/>
  <c r="K69" i="2" s="1"/>
  <c r="K70" i="2" a="1"/>
  <c r="K70" i="2" s="1"/>
  <c r="K71" i="2" a="1"/>
  <c r="K71" i="2" s="1"/>
  <c r="K72" i="2" a="1"/>
  <c r="K72" i="2" s="1"/>
  <c r="K73" i="2" a="1"/>
  <c r="K73" i="2" s="1"/>
  <c r="K74" i="2" a="1"/>
  <c r="K74" i="2" s="1"/>
  <c r="K75" i="2" a="1"/>
  <c r="K75" i="2" s="1"/>
  <c r="K76" i="2" a="1"/>
  <c r="K76" i="2" s="1"/>
  <c r="K77" i="2" a="1"/>
  <c r="K77" i="2" s="1"/>
  <c r="K78" i="2" a="1"/>
  <c r="K78" i="2" s="1"/>
  <c r="K79" i="2" a="1"/>
  <c r="K79" i="2" s="1"/>
  <c r="K80" i="2" a="1"/>
  <c r="K80" i="2" s="1"/>
  <c r="K81" i="2" a="1"/>
  <c r="K81" i="2" s="1"/>
  <c r="K82" i="2" a="1"/>
  <c r="K82" i="2" s="1"/>
  <c r="K83" i="2" a="1"/>
  <c r="K83" i="2" s="1"/>
  <c r="K84" i="2" a="1"/>
  <c r="K84" i="2" s="1"/>
  <c r="K85" i="2" a="1"/>
  <c r="K85" i="2" s="1"/>
  <c r="K86" i="2" a="1"/>
  <c r="K86" i="2" s="1"/>
  <c r="K87" i="2" a="1"/>
  <c r="K87" i="2" s="1"/>
  <c r="K88" i="2" a="1"/>
  <c r="K88" i="2" s="1"/>
  <c r="K89" i="2" a="1"/>
  <c r="K89" i="2" s="1"/>
  <c r="K90" i="2" a="1"/>
  <c r="K90" i="2" s="1"/>
  <c r="K91" i="2" a="1"/>
  <c r="K91" i="2" s="1"/>
  <c r="K92" i="2" a="1"/>
  <c r="K92" i="2" s="1"/>
  <c r="K93" i="2" a="1"/>
  <c r="K93" i="2" s="1"/>
  <c r="K94" i="2" a="1"/>
  <c r="K94" i="2" s="1"/>
  <c r="K95" i="2" a="1"/>
  <c r="K95" i="2" s="1"/>
  <c r="K96" i="2" a="1"/>
  <c r="K96" i="2" s="1"/>
  <c r="K97" i="2" a="1"/>
  <c r="K97" i="2" s="1"/>
  <c r="K98" i="2" a="1"/>
  <c r="K98" i="2" s="1"/>
  <c r="K99" i="2" a="1"/>
  <c r="K99" i="2" s="1"/>
  <c r="K100" i="2" a="1"/>
  <c r="K100" i="2" s="1"/>
  <c r="K101" i="2" a="1"/>
  <c r="K101" i="2" s="1"/>
  <c r="K102" i="2" a="1"/>
  <c r="K102" i="2" s="1"/>
  <c r="K103" i="2" a="1"/>
  <c r="K103" i="2"/>
  <c r="K104" i="2" a="1"/>
  <c r="K104" i="2" s="1"/>
  <c r="K105" i="2" a="1"/>
  <c r="K105" i="2" s="1"/>
  <c r="K106" i="2" a="1"/>
  <c r="K106" i="2" s="1"/>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s="1"/>
  <c r="K119" i="2" a="1"/>
  <c r="K119" i="2" s="1"/>
  <c r="K120" i="2" a="1"/>
  <c r="K120" i="2" s="1"/>
  <c r="K121" i="2" a="1"/>
  <c r="K121" i="2" s="1"/>
  <c r="K122" i="2" a="1"/>
  <c r="K122" i="2" s="1"/>
  <c r="K123" i="2" a="1"/>
  <c r="K123" i="2" s="1"/>
  <c r="K124" i="2" a="1"/>
  <c r="K124" i="2" s="1"/>
  <c r="K125" i="2" a="1"/>
  <c r="K125" i="2" s="1"/>
  <c r="K126" i="2" a="1"/>
  <c r="K126" i="2" s="1"/>
  <c r="K127" i="2" a="1"/>
  <c r="K127" i="2" s="1"/>
  <c r="K128" i="2" a="1"/>
  <c r="K128" i="2"/>
  <c r="K129" i="2" a="1"/>
  <c r="K129" i="2" s="1"/>
  <c r="K130" i="2" a="1"/>
  <c r="K130" i="2" s="1"/>
  <c r="K131" i="2" a="1"/>
  <c r="K131" i="2" s="1"/>
  <c r="K132" i="2" a="1"/>
  <c r="K132" i="2" s="1"/>
  <c r="K133" i="2" a="1"/>
  <c r="K133" i="2" s="1"/>
  <c r="K134" i="2" a="1"/>
  <c r="K134" i="2" s="1"/>
  <c r="K135" i="2" a="1"/>
  <c r="K135" i="2" s="1"/>
  <c r="K136" i="2" a="1"/>
  <c r="K136" i="2" s="1"/>
  <c r="K137" i="2" a="1"/>
  <c r="K137" i="2" s="1"/>
  <c r="K138" i="2" a="1"/>
  <c r="K138" i="2" s="1"/>
  <c r="K139" i="2" a="1"/>
  <c r="K139" i="2" s="1"/>
  <c r="K140" i="2" a="1"/>
  <c r="K140" i="2" s="1"/>
  <c r="K141" i="2" a="1"/>
  <c r="K141" i="2" s="1"/>
  <c r="K142" i="2" a="1"/>
  <c r="K142" i="2" s="1"/>
  <c r="K143" i="2" a="1"/>
  <c r="K143" i="2" s="1"/>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s="1"/>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s="1"/>
  <c r="K179" i="2" a="1"/>
  <c r="K179" i="2" s="1"/>
  <c r="K180" i="2" a="1"/>
  <c r="K180" i="2" s="1"/>
  <c r="K181" i="2" a="1"/>
  <c r="K181" i="2" s="1"/>
  <c r="K182" i="2" a="1"/>
  <c r="K182" i="2" s="1"/>
  <c r="K183" i="2" a="1"/>
  <c r="K183" i="2" s="1"/>
  <c r="K184" i="2" a="1"/>
  <c r="K184" i="2" s="1"/>
  <c r="K185" i="2" a="1"/>
  <c r="K185" i="2" s="1"/>
  <c r="K186" i="2" a="1"/>
  <c r="K186" i="2" s="1"/>
  <c r="K187" i="2" a="1"/>
  <c r="K187" i="2" s="1"/>
  <c r="K188" i="2" a="1"/>
  <c r="K188" i="2" s="1"/>
  <c r="K189" i="2" a="1"/>
  <c r="K189" i="2" s="1"/>
  <c r="K190" i="2" a="1"/>
  <c r="K190" i="2" s="1"/>
  <c r="K191" i="2" a="1"/>
  <c r="K191" i="2" s="1"/>
  <c r="K192" i="2" a="1"/>
  <c r="K192" i="2" s="1"/>
  <c r="K193" i="2" a="1"/>
  <c r="K193" i="2" s="1"/>
  <c r="K194" i="2" a="1"/>
  <c r="K194" i="2" s="1"/>
  <c r="K195" i="2" a="1"/>
  <c r="K195" i="2" s="1"/>
  <c r="K196" i="2" a="1"/>
  <c r="K196" i="2" s="1"/>
  <c r="K197" i="2" a="1"/>
  <c r="K197" i="2" s="1"/>
  <c r="K198" i="2" a="1"/>
  <c r="K198" i="2" s="1"/>
  <c r="K199" i="2" a="1"/>
  <c r="K199" i="2" s="1"/>
  <c r="K200" i="2" a="1"/>
  <c r="K200" i="2" s="1"/>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s="1"/>
  <c r="K215" i="2" a="1"/>
  <c r="K215" i="2"/>
  <c r="K216" i="2" a="1"/>
  <c r="K216" i="2" s="1"/>
  <c r="K217" i="2" a="1"/>
  <c r="K217" i="2" s="1"/>
  <c r="K218" i="2" a="1"/>
  <c r="K218" i="2" s="1"/>
  <c r="K219" i="2" a="1"/>
  <c r="K219" i="2" s="1"/>
  <c r="K220" i="2" a="1"/>
  <c r="K220" i="2" s="1"/>
  <c r="K221" i="2" a="1"/>
  <c r="K221" i="2" s="1"/>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s="1"/>
  <c r="K491" i="2" a="1"/>
  <c r="K491" i="2" s="1"/>
  <c r="K492" i="2" a="1"/>
  <c r="K492" i="2" s="1"/>
  <c r="K493" i="2" a="1"/>
  <c r="K493" i="2" s="1"/>
  <c r="K494" i="2" a="1"/>
  <c r="K494" i="2" s="1"/>
  <c r="K495" i="2" a="1"/>
  <c r="K495" i="2" s="1"/>
  <c r="K496" i="2" a="1"/>
  <c r="K496" i="2" s="1"/>
  <c r="K497" i="2" a="1"/>
  <c r="K497" i="2" s="1"/>
  <c r="K498" i="2" a="1"/>
  <c r="K498" i="2" s="1"/>
  <c r="K499" i="2" a="1"/>
  <c r="K499" i="2" s="1"/>
  <c r="K500" i="2" a="1"/>
  <c r="K500" i="2" s="1"/>
  <c r="K501" i="2" a="1"/>
  <c r="K501" i="2" s="1"/>
  <c r="K502" i="2" a="1"/>
  <c r="K502" i="2" s="1"/>
  <c r="K503" i="2" a="1"/>
  <c r="K503" i="2" s="1"/>
  <c r="K504" i="2" a="1"/>
  <c r="K504" i="2" s="1"/>
  <c r="K505" i="2" a="1"/>
  <c r="K505" i="2" s="1"/>
  <c r="K506" i="2" a="1"/>
  <c r="K506" i="2" s="1"/>
  <c r="K507" i="2" a="1"/>
  <c r="K507" i="2"/>
  <c r="K508" i="2" a="1"/>
  <c r="K508" i="2" s="1"/>
  <c r="K509" i="2" a="1"/>
  <c r="K509" i="2" s="1"/>
  <c r="K510" i="2" a="1"/>
  <c r="K510" i="2" s="1"/>
  <c r="K511" i="2" a="1"/>
  <c r="K511" i="2" s="1"/>
  <c r="K512" i="2" a="1"/>
  <c r="K512" i="2" s="1"/>
  <c r="K513" i="2" a="1"/>
  <c r="K513" i="2" s="1"/>
  <c r="K514" i="2" a="1"/>
  <c r="K514" i="2" s="1"/>
  <c r="K515" i="2" a="1"/>
  <c r="K515" i="2" s="1"/>
  <c r="K516" i="2" a="1"/>
  <c r="K516" i="2" s="1"/>
  <c r="K517" i="2" a="1"/>
  <c r="K517" i="2" s="1"/>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s="1"/>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s="1"/>
  <c r="K545" i="2" a="1"/>
  <c r="K545" i="2" s="1"/>
  <c r="K546" i="2" a="1"/>
  <c r="K546" i="2" s="1"/>
  <c r="K547" i="2" a="1"/>
  <c r="K547" i="2" s="1"/>
  <c r="K548" i="2" a="1"/>
  <c r="K548" i="2" s="1"/>
  <c r="K549" i="2" a="1"/>
  <c r="K549" i="2" s="1"/>
  <c r="K550" i="2" a="1"/>
  <c r="K550" i="2"/>
  <c r="K551" i="2" a="1"/>
  <c r="K551" i="2" s="1"/>
  <c r="K552" i="2" a="1"/>
  <c r="K552" i="2" s="1"/>
  <c r="K553" i="2" a="1"/>
  <c r="K553" i="2" s="1"/>
  <c r="K554" i="2" a="1"/>
  <c r="K554" i="2" s="1"/>
  <c r="K555" i="2" a="1"/>
  <c r="K555" i="2" s="1"/>
  <c r="K556" i="2" a="1"/>
  <c r="K556" i="2" s="1"/>
  <c r="K557" i="2" a="1"/>
  <c r="K557" i="2" s="1"/>
  <c r="K558" i="2" a="1"/>
  <c r="K558" i="2" s="1"/>
  <c r="K559" i="2" a="1"/>
  <c r="K559" i="2" s="1"/>
  <c r="K560" i="2" a="1"/>
  <c r="K560" i="2" s="1"/>
  <c r="K561" i="2" a="1"/>
  <c r="K561" i="2" s="1"/>
  <c r="K562" i="2" a="1"/>
  <c r="K562" i="2" s="1"/>
  <c r="K563" i="2" a="1"/>
  <c r="K563" i="2" s="1"/>
  <c r="K564" i="2" a="1"/>
  <c r="K564" i="2" s="1"/>
  <c r="K565" i="2" a="1"/>
  <c r="K565" i="2" s="1"/>
  <c r="K566" i="2" a="1"/>
  <c r="K566" i="2" s="1"/>
  <c r="K567" i="2" a="1"/>
  <c r="K567" i="2" s="1"/>
  <c r="K568" i="2" a="1"/>
  <c r="K568" i="2" s="1"/>
  <c r="K569" i="2" a="1"/>
  <c r="K569" i="2" s="1"/>
  <c r="K570" i="2" a="1"/>
  <c r="K570" i="2" s="1"/>
  <c r="K571" i="2" a="1"/>
  <c r="K571" i="2" s="1"/>
  <c r="K572" i="2" a="1"/>
  <c r="K572" i="2" s="1"/>
  <c r="K573" i="2" a="1"/>
  <c r="K573" i="2" s="1"/>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s="1"/>
  <c r="K593" i="2" a="1"/>
  <c r="K593" i="2" s="1"/>
  <c r="K594" i="2" a="1"/>
  <c r="K594" i="2" s="1"/>
  <c r="K595" i="2" a="1"/>
  <c r="K595" i="2" s="1"/>
  <c r="K596" i="2" a="1"/>
  <c r="K596" i="2" s="1"/>
  <c r="K597" i="2" a="1"/>
  <c r="K597" i="2" s="1"/>
  <c r="K598" i="2" a="1"/>
  <c r="K598" i="2" s="1"/>
  <c r="K599" i="2" a="1"/>
  <c r="K599" i="2" s="1"/>
  <c r="K600" i="2" a="1"/>
  <c r="K600" i="2"/>
  <c r="K601" i="2" a="1"/>
  <c r="K601" i="2" s="1"/>
  <c r="K602" i="2" a="1"/>
  <c r="K602" i="2" s="1"/>
  <c r="K603" i="2" a="1"/>
  <c r="K603" i="2" s="1"/>
  <c r="K604" i="2" a="1"/>
  <c r="K604" i="2" s="1"/>
  <c r="K605" i="2" a="1"/>
  <c r="K605" i="2" s="1"/>
  <c r="K606" i="2" a="1"/>
  <c r="K606" i="2" s="1"/>
  <c r="K607" i="2" a="1"/>
  <c r="K607" i="2" s="1"/>
  <c r="K608" i="2" a="1"/>
  <c r="K608" i="2" s="1"/>
  <c r="K609" i="2" a="1"/>
  <c r="K609" i="2"/>
  <c r="K610" i="2" a="1"/>
  <c r="K610" i="2" s="1"/>
  <c r="K611" i="2" a="1"/>
  <c r="K611" i="2" s="1"/>
  <c r="K612" i="2" a="1"/>
  <c r="K612" i="2" s="1"/>
  <c r="K613" i="2" a="1"/>
  <c r="K613" i="2" s="1"/>
  <c r="K614" i="2" a="1"/>
  <c r="K614" i="2" s="1"/>
  <c r="K615" i="2" a="1"/>
  <c r="K615" i="2" s="1"/>
  <c r="K616" i="2" a="1"/>
  <c r="K616" i="2" s="1"/>
  <c r="K617" i="2" a="1"/>
  <c r="K617" i="2" s="1"/>
  <c r="K618" i="2" a="1"/>
  <c r="K618" i="2" s="1"/>
  <c r="K619" i="2" a="1"/>
  <c r="K619" i="2" s="1"/>
  <c r="K620" i="2" a="1"/>
  <c r="K620" i="2" s="1"/>
  <c r="K621" i="2" a="1"/>
  <c r="K621" i="2"/>
  <c r="K622" i="2" a="1"/>
  <c r="K622" i="2" s="1"/>
  <c r="K623" i="2" a="1"/>
  <c r="K623" i="2" s="1"/>
  <c r="K624" i="2" a="1"/>
  <c r="K624" i="2" s="1"/>
  <c r="K625" i="2" a="1"/>
  <c r="K625" i="2" s="1"/>
  <c r="K626" i="2" a="1"/>
  <c r="K626" i="2" s="1"/>
  <c r="K627" i="2" a="1"/>
  <c r="K627" i="2" s="1"/>
  <c r="K628" i="2" a="1"/>
  <c r="K628" i="2" s="1"/>
  <c r="K629" i="2" a="1"/>
  <c r="K629" i="2" s="1"/>
  <c r="K630" i="2" a="1"/>
  <c r="K630" i="2" s="1"/>
  <c r="K631" i="2" a="1"/>
  <c r="K631" i="2" s="1"/>
  <c r="K632" i="2" a="1"/>
  <c r="K632" i="2" s="1"/>
  <c r="K633" i="2" a="1"/>
  <c r="K633" i="2" s="1"/>
  <c r="K634" i="2" a="1"/>
  <c r="K634" i="2" s="1"/>
  <c r="K635" i="2" a="1"/>
  <c r="K635" i="2" s="1"/>
  <c r="K636" i="2" a="1"/>
  <c r="K636" i="2" s="1"/>
  <c r="K637" i="2" a="1"/>
  <c r="K637" i="2" s="1"/>
  <c r="K638" i="2" a="1"/>
  <c r="K638" i="2" s="1"/>
  <c r="K639" i="2" a="1"/>
  <c r="K639" i="2" s="1"/>
  <c r="K640" i="2" a="1"/>
  <c r="K640" i="2" s="1"/>
  <c r="K641" i="2" a="1"/>
  <c r="K641" i="2" s="1"/>
  <c r="K642" i="2" a="1"/>
  <c r="K642" i="2" s="1"/>
  <c r="K643" i="2" a="1"/>
  <c r="K643" i="2" s="1"/>
  <c r="K644" i="2" a="1"/>
  <c r="K644" i="2" s="1"/>
  <c r="K645" i="2" a="1"/>
  <c r="K645" i="2" s="1"/>
  <c r="K646" i="2" a="1"/>
  <c r="K646" i="2" s="1"/>
  <c r="K647" i="2" a="1"/>
  <c r="K647" i="2" s="1"/>
  <c r="K648" i="2" a="1"/>
  <c r="K648" i="2" s="1"/>
  <c r="K649" i="2" a="1"/>
  <c r="K649" i="2" s="1"/>
  <c r="K650" i="2" a="1"/>
  <c r="K650" i="2" s="1"/>
  <c r="K651" i="2" a="1"/>
  <c r="K651" i="2" s="1"/>
  <c r="K652" i="2" a="1"/>
  <c r="K652" i="2" s="1"/>
  <c r="K653" i="2" a="1"/>
  <c r="K653" i="2" s="1"/>
  <c r="K654" i="2" a="1"/>
  <c r="K654" i="2" s="1"/>
  <c r="K655" i="2" a="1"/>
  <c r="K655" i="2" s="1"/>
  <c r="K656" i="2" a="1"/>
  <c r="K656" i="2" s="1"/>
  <c r="K657" i="2" a="1"/>
  <c r="K657" i="2" s="1"/>
  <c r="K658" i="2" a="1"/>
  <c r="K658" i="2" s="1"/>
  <c r="K659" i="2" a="1"/>
  <c r="K659" i="2" s="1"/>
  <c r="K660" i="2" a="1"/>
  <c r="K660" i="2" s="1"/>
  <c r="K661" i="2" a="1"/>
  <c r="K661" i="2" s="1"/>
  <c r="K662" i="2" a="1"/>
  <c r="K662" i="2" s="1"/>
  <c r="K663" i="2" a="1"/>
  <c r="K663" i="2" s="1"/>
  <c r="K664" i="2" a="1"/>
  <c r="K664" i="2" s="1"/>
  <c r="K665" i="2" a="1"/>
  <c r="K665" i="2" s="1"/>
  <c r="K666" i="2" a="1"/>
  <c r="K666" i="2" s="1"/>
  <c r="K667" i="2" a="1"/>
  <c r="K667" i="2" s="1"/>
  <c r="K668" i="2" a="1"/>
  <c r="K668" i="2" s="1"/>
  <c r="K669" i="2" a="1"/>
  <c r="K669" i="2" s="1"/>
  <c r="K670" i="2" a="1"/>
  <c r="K670" i="2" s="1"/>
  <c r="K671" i="2" a="1"/>
  <c r="K671" i="2" s="1"/>
  <c r="K672" i="2" a="1"/>
  <c r="K672" i="2" s="1"/>
  <c r="K673" i="2" a="1"/>
  <c r="K673" i="2" s="1"/>
  <c r="K674" i="2" a="1"/>
  <c r="K674" i="2" s="1"/>
  <c r="K675" i="2" a="1"/>
  <c r="K675" i="2" s="1"/>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s="1"/>
  <c r="K701" i="2" a="1"/>
  <c r="K701" i="2" s="1"/>
  <c r="K702" i="2" a="1"/>
  <c r="K702" i="2" s="1"/>
  <c r="K703" i="2" a="1"/>
  <c r="K703" i="2" s="1"/>
  <c r="K704" i="2" a="1"/>
  <c r="K704" i="2" s="1"/>
  <c r="K705" i="2" a="1"/>
  <c r="K705" i="2" s="1"/>
  <c r="K706" i="2" a="1"/>
  <c r="K706" i="2" s="1"/>
  <c r="K707" i="2" a="1"/>
  <c r="K707" i="2" s="1"/>
  <c r="K708" i="2" a="1"/>
  <c r="K708" i="2" s="1"/>
  <c r="K709" i="2" a="1"/>
  <c r="K709" i="2" s="1"/>
  <c r="K710" i="2" a="1"/>
  <c r="K710" i="2" s="1"/>
  <c r="K711" i="2" a="1"/>
  <c r="K711" i="2" s="1"/>
  <c r="K712" i="2" a="1"/>
  <c r="K712" i="2" s="1"/>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s="1"/>
  <c r="K725" i="2" a="1"/>
  <c r="K725" i="2" s="1"/>
  <c r="K726" i="2" a="1"/>
  <c r="K726" i="2" s="1"/>
  <c r="K727" i="2" a="1"/>
  <c r="K727" i="2" s="1"/>
  <c r="K728" i="2" a="1"/>
  <c r="K728" i="2" s="1"/>
  <c r="K729" i="2" a="1"/>
  <c r="K729" i="2" s="1"/>
  <c r="K730" i="2" a="1"/>
  <c r="K730" i="2" s="1"/>
  <c r="K731" i="2" a="1"/>
  <c r="K731" i="2" s="1"/>
  <c r="K732" i="2" a="1"/>
  <c r="K732" i="2" s="1"/>
  <c r="K733" i="2" a="1"/>
  <c r="K733" i="2" s="1"/>
  <c r="K734" i="2" a="1"/>
  <c r="K734" i="2" s="1"/>
  <c r="K735" i="2" a="1"/>
  <c r="K735" i="2" s="1"/>
  <c r="K736" i="2" a="1"/>
  <c r="K736" i="2" s="1"/>
  <c r="K737" i="2" a="1"/>
  <c r="K737" i="2" s="1"/>
  <c r="K738" i="2" a="1"/>
  <c r="K738" i="2" s="1"/>
  <c r="K739" i="2" a="1"/>
  <c r="K739" i="2" s="1"/>
  <c r="K740" i="2" a="1"/>
  <c r="K740" i="2" s="1"/>
  <c r="K741" i="2" a="1"/>
  <c r="K741" i="2" s="1"/>
  <c r="K742" i="2" a="1"/>
  <c r="K742" i="2" s="1"/>
  <c r="K743" i="2" a="1"/>
  <c r="K743" i="2" s="1"/>
  <c r="K744" i="2" a="1"/>
  <c r="K744" i="2" s="1"/>
  <c r="K745" i="2" a="1"/>
  <c r="K745" i="2" s="1"/>
  <c r="K746" i="2" a="1"/>
  <c r="K746" i="2" s="1"/>
  <c r="K747" i="2" a="1"/>
  <c r="K747" i="2" s="1"/>
  <c r="K748" i="2" a="1"/>
  <c r="K748" i="2" s="1"/>
  <c r="K749" i="2" a="1"/>
  <c r="K749" i="2" s="1"/>
  <c r="K750" i="2" a="1"/>
  <c r="K750" i="2" s="1"/>
  <c r="K751" i="2" a="1"/>
  <c r="K751" i="2" s="1"/>
  <c r="K752" i="2" a="1"/>
  <c r="K752" i="2" s="1"/>
  <c r="K753" i="2" a="1"/>
  <c r="K753" i="2" s="1"/>
  <c r="K754" i="2" a="1"/>
  <c r="K754" i="2" s="1"/>
  <c r="K755" i="2" a="1"/>
  <c r="K755" i="2" s="1"/>
  <c r="K756" i="2" a="1"/>
  <c r="K756" i="2" s="1"/>
  <c r="K757" i="2" a="1"/>
  <c r="K757" i="2" s="1"/>
  <c r="K758" i="2" a="1"/>
  <c r="K758" i="2" s="1"/>
  <c r="K759" i="2" a="1"/>
  <c r="K759" i="2" s="1"/>
  <c r="K760" i="2" a="1"/>
  <c r="K760" i="2" s="1"/>
  <c r="K761" i="2" a="1"/>
  <c r="K761" i="2" s="1"/>
  <c r="K762" i="2" a="1"/>
  <c r="K762" i="2" s="1"/>
  <c r="K763" i="2" a="1"/>
  <c r="K763" i="2" s="1"/>
  <c r="K764" i="2" a="1"/>
  <c r="K764" i="2" s="1"/>
  <c r="K765" i="2" a="1"/>
  <c r="K765" i="2" s="1"/>
  <c r="K766" i="2" a="1"/>
  <c r="K766" i="2" s="1"/>
  <c r="K767" i="2" a="1"/>
  <c r="K767" i="2" s="1"/>
  <c r="K768" i="2" a="1"/>
  <c r="K768" i="2" s="1"/>
  <c r="K769" i="2" a="1"/>
  <c r="K769" i="2" s="1"/>
  <c r="K770" i="2" a="1"/>
  <c r="K770" i="2" s="1"/>
  <c r="K771" i="2" a="1"/>
  <c r="K771" i="2" s="1"/>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s="1"/>
  <c r="K784" i="2" a="1"/>
  <c r="K784" i="2" s="1"/>
  <c r="K785" i="2" a="1"/>
  <c r="K785" i="2" s="1"/>
  <c r="K786" i="2" a="1"/>
  <c r="K786" i="2" s="1"/>
  <c r="K787" i="2" a="1"/>
  <c r="K787" i="2" s="1"/>
  <c r="K788" i="2" a="1"/>
  <c r="K788" i="2" s="1"/>
  <c r="K789" i="2" a="1"/>
  <c r="K789" i="2" s="1"/>
  <c r="K790" i="2" a="1"/>
  <c r="K790" i="2" s="1"/>
  <c r="K791" i="2" a="1"/>
  <c r="K791" i="2" s="1"/>
  <c r="K792" i="2" a="1"/>
  <c r="K792" i="2" s="1"/>
  <c r="K793" i="2" a="1"/>
  <c r="K793" i="2" s="1"/>
  <c r="K794" i="2" a="1"/>
  <c r="K794" i="2" s="1"/>
  <c r="K795" i="2" a="1"/>
  <c r="K795" i="2" s="1"/>
  <c r="K796" i="2" a="1"/>
  <c r="K796" i="2" s="1"/>
  <c r="K797" i="2" a="1"/>
  <c r="K797" i="2" s="1"/>
  <c r="K798" i="2" a="1"/>
  <c r="K798" i="2" s="1"/>
  <c r="K799" i="2" a="1"/>
  <c r="K799" i="2" s="1"/>
  <c r="K800" i="2" a="1"/>
  <c r="K800" i="2" s="1"/>
  <c r="K801" i="2" a="1"/>
  <c r="K801" i="2" s="1"/>
  <c r="K802" i="2" a="1"/>
  <c r="K802" i="2" s="1"/>
  <c r="K803" i="2" a="1"/>
  <c r="K803" i="2" s="1"/>
  <c r="K804" i="2" a="1"/>
  <c r="K804" i="2" s="1"/>
  <c r="K805" i="2" a="1"/>
  <c r="K805" i="2" s="1"/>
  <c r="K806" i="2" a="1"/>
  <c r="K806" i="2" s="1"/>
  <c r="K807" i="2" a="1"/>
  <c r="K807" i="2" s="1"/>
  <c r="K808" i="2" a="1"/>
  <c r="K808" i="2" s="1"/>
  <c r="K809" i="2" a="1"/>
  <c r="K809" i="2" s="1"/>
  <c r="K810" i="2" a="1"/>
  <c r="K810" i="2" s="1"/>
  <c r="K811" i="2" a="1"/>
  <c r="K811" i="2" s="1"/>
  <c r="K812" i="2" a="1"/>
  <c r="K812" i="2" s="1"/>
  <c r="K813" i="2" a="1"/>
  <c r="K813" i="2" s="1"/>
  <c r="K814" i="2" a="1"/>
  <c r="K814" i="2" s="1"/>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s="1"/>
  <c r="K988" i="2" a="1"/>
  <c r="K988" i="2" s="1"/>
  <c r="K989" i="2" a="1"/>
  <c r="K989" i="2" s="1"/>
  <c r="K990" i="2" a="1"/>
  <c r="K990" i="2"/>
  <c r="K991" i="2" a="1"/>
  <c r="K991" i="2" s="1"/>
  <c r="K992" i="2" a="1"/>
  <c r="K992" i="2" s="1"/>
  <c r="K993" i="2" a="1"/>
  <c r="K993" i="2" s="1"/>
  <c r="K994" i="2" a="1"/>
  <c r="K994" i="2" s="1"/>
  <c r="K995" i="2" a="1"/>
  <c r="K995" i="2" s="1"/>
  <c r="K996" i="2" a="1"/>
  <c r="K996" i="2" s="1"/>
  <c r="K997" i="2" a="1"/>
  <c r="K997" i="2" s="1"/>
  <c r="K998" i="2" a="1"/>
  <c r="K998" i="2" s="1"/>
  <c r="K999" i="2" a="1"/>
  <c r="K999" i="2" s="1"/>
  <c r="K1000" i="2" a="1"/>
  <c r="K1000" i="2" s="1"/>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H37" i="5" l="1"/>
  <c r="H34" i="5"/>
  <c r="H38" i="5"/>
  <c r="H36" i="5"/>
  <c r="H35" i="5"/>
  <c r="I34" i="5"/>
  <c r="I38" i="5"/>
  <c r="I37" i="5"/>
  <c r="I36"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507535-3D27-406B-834D-41011E71BA1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E5C0966-D495-4BB2-B0AB-4EDA11B9E71E}" name="WorksheetConnection_project.xlsx!calls" type="102" refreshedVersion="8" minRefreshableVersion="5">
    <extLst>
      <ext xmlns:x15="http://schemas.microsoft.com/office/spreadsheetml/2010/11/main" uri="{DE250136-89BD-433C-8126-D09CA5730AF9}">
        <x15:connection id="calls" autoDelete="1">
          <x15:rangePr sourceName="_xlcn.WorksheetConnection_project.xlsxcalls1"/>
        </x15:connection>
      </ext>
    </extLst>
  </connection>
  <connection id="3" xr16:uid="{CBD7BB72-90DF-4408-9D54-08FE0F267CA3}" name="WorksheetConnection_project.xlsx!customers" type="102" refreshedVersion="8" minRefreshableVersion="5">
    <extLst>
      <ext xmlns:x15="http://schemas.microsoft.com/office/spreadsheetml/2010/11/main" uri="{DE250136-89BD-433C-8126-D09CA5730AF9}">
        <x15:connection id="customers">
          <x15:rangePr sourceName="_xlcn.WorksheetConnection_project.xlsxcustomers1"/>
        </x15:connection>
      </ext>
    </extLst>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<sst xmlns="http://schemas.openxmlformats.org/spreadsheetml/2006/main" count="3155" uniqueCount="1075">
  <si>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</si>
  <si>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</si>
  <si>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</si>
  <si>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</si>
  <si>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</si>
  <si>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</si>
  <si>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</si>
  <si>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</si>
  <si>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</si>
  <si>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</si>
  <si>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</si>
  <si>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</si>
  <si>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</si>
  <si>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</si>
  <si>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</si>
  <si>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</si>
  <si>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</si>
  <si>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</si>
  <si>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</si>
  <si>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</si>
  <si>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</si>
  <si>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</si>
  <si>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</si>
  <si>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</si>
  <si>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</si>
  <si>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</si>
  <si>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</si>
  <si>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</si>
  <si>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</si>
  <si>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</si>
  <si>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</si>
  <si>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</si>
  <si>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</si>
  <si>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</si>
  <si>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</si>
  <si>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</si>
  <si>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</si>
  <si>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</si>
  <si>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</si>
  <si>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</si>
  <si>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</si>
  <si>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</si>
  <si>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</si>
  <si>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</si>
  <si>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</si>
  <si>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</si>
  <si>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</si>
  <si>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</si>
  <si>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</si>
  <si>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</si>
  <si>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</si>
  <si>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</si>
  <si>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</si>
  <si>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</si>
  <si>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</si>
  <si>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</si>
  <si>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</si>
  <si>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</si>
  <si>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</si>
  <si>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</si>
  <si>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</si>
  <si>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</si>
  <si>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</si>
  <si>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</si>
  <si>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</si>
  <si>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</si>
  <si>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</si>
  <si>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</si>
  <si>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</si>
  <si>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</si>
  <si>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</si>
  <si>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</si>
  <si>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</si>
  <si>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</si>
  <si>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</si>
  <si>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</si>
  <si>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</si>
  <si>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</si>
  <si>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</si>
  <si>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</si>
  <si>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</si>
  <si>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</si>
  <si>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</si>
  <si>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</si>
  <si>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</si>
  <si>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</si>
  <si>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</si>
  <si>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</si>
  <si>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</si>
  <si>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</si>
  <si>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</si>
  <si>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</si>
  <si>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</si>
  <si>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</si>
  <si>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</si>
  <si>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</si>
  <si>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</si>
  <si>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</si>
  <si>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</si>
  <si>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</si>
  <si>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</si>
  <si>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</si>
  <si>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</si>
  <si>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</si>
  <si>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</si>
  <si>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</si>
  <si>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</si>
  <si>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</si>
  <si>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</si>
  <si>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</si>
  <si>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</si>
  <si>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</si>
  <si>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</si>
  <si>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</si>
  <si>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</si>
  <si>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</si>
  <si>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</si>
  <si>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</si>
  <si>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</si>
  <si>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</si>
  <si>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</si>
  <si>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</si>
  <si>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</si>
  <si>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</si>
  <si>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</si>
  <si>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</si>
  <si>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</si>
  <si>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</si>
  <si>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</si>
  <si>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</si>
  <si>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</si>
  <si>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</si>
  <si>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</si>
  <si>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</si>
  <si>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</si>
  <si>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</si>
  <si>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</si>
  <si>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</si>
  <si>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</si>
  <si>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</si>
  <si>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</si>
  <si>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</si>
  <si>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</si>
  <si>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</si>
  <si>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</si>
  <si>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</si>
  <si>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</si>
  <si>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</si>
  <si>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</si>
  <si>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</si>
  <si>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</si>
  <si>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</si>
  <si>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</si>
  <si>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</si>
  <si>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</si>
  <si>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</si>
  <si>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</si>
  <si>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</si>
  <si>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</si>
  <si>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</si>
  <si>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</si>
  <si>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</si>
  <si>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</si>
  <si>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</si>
  <si>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</si>
  <si>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</si>
  <si>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</si>
  <si>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</si>
  <si>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</si>
  <si>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</si>
  <si>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</si>
  <si>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</si>
  <si>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</si>
  <si>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</si>
  <si>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</si>
  <si>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</si>
  <si>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</si>
  <si>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</si>
  <si>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</si>
  <si>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</si>
  <si>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</si>
  <si>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</si>
  <si>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</si>
  <si>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</si>
  <si>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</si>
  <si>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</si>
  <si>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</si>
  <si>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</si>
  <si>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</si>
  <si>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</si>
  <si>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</si>
  <si>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</si>
  <si>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</si>
  <si>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</si>
  <si>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</si>
  <si>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</si>
  <si>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</si>
  <si>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</si>
  <si>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</si>
  <si>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</si>
  <si>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</si>
  <si>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</si>
  <si>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</si>
  <si>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</si>
  <si>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</si>
  <si>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</si>
  <si>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</si>
  <si>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</si>
  <si>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</si>
  <si>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</si>
  <si>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</si>
  <si>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</si>
  <si>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</si>
  <si>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</si>
  <si>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</si>
  <si>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</si>
  <si>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</si>
  <si>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</si>
  <si>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</si>
  <si>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</si>
  <si>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</si>
  <si>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</si>
  <si>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</si>
  <si>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</si>
  <si>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</si>
  <si>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</si>
  <si>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</si>
  <si>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</si>
  <si>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</si>
  <si>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</si>
  <si>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</si>
  <si>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</si>
  <si>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</si>
  <si>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</si>
  <si>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</si>
  <si>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</si>
  <si>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</si>
  <si>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</si>
  <si>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</si>
  <si>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</si>
  <si>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</si>
  <si>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</si>
  <si>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</si>
  <si>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</si>
  <si>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</si>
  <si>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</si>
  <si>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</si>
  <si>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</si>
  <si>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</si>
  <si>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</si>
  <si>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</si>
  <si>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</si>
  <si>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</si>
  <si>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</si>
  <si>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</si>
  <si>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</si>
  <si>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</si>
  <si>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</si>
  <si>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</si>
  <si>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</si>
  <si>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</si>
  <si>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</si>
  <si>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</si>
  <si>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</si>
  <si>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</si>
  <si>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</si>
  <si>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</si>
  <si>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</si>
  <si>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</si>
  <si>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</si>
  <si>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</si>
  <si>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</si>
  <si>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</si>
  <si>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</si>
  <si>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</si>
  <si>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</si>
  <si>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</si>
  <si>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</si>
  <si>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</si>
  <si>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</si>
  <si>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</si>
  <si>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</si>
  <si>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</si>
  <si>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</si>
  <si>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</si>
  <si>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</si>
  <si>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</si>
  <si>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</si>
  <si>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</si>
  <si>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</si>
  <si>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</si>
  <si>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</si>
  <si>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</si>
  <si>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</si>
  <si>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</si>
  <si>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</si>
  <si>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</si>
  <si>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</si>
  <si>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</si>
  <si>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</si>
  <si>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</si>
  <si>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</si>
  <si>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</si>
  <si>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</si>
  <si>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</si>
  <si>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</si>
  <si>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</si>
  <si>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</si>
  <si>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</si>
  <si>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</si>
  <si>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</si>
  <si>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</si>
  <si>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</si>
  <si>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</si>
  <si>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</si>
  <si>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</si>
  <si>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</si>
  <si>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</si>
  <si>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</si>
  <si>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</si>
  <si>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</si>
  <si>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</si>
  <si>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</si>
  <si>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</si>
  <si>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</si>
  <si>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</si>
  <si>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</si>
  <si>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</si>
  <si>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</si>
  <si>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</si>
  <si>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</si>
  <si>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</si>
  <si>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</si>
  <si>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</si>
  <si>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</si>
  <si>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</si>
  <si>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</si>
  <si>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</si>
  <si>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</si>
  <si>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</si>
  <si>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</si>
  <si>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</si>
  <si>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</si>
  <si>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</si>
  <si>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</si>
  <si>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</si>
  <si>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</si>
  <si>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</si>
  <si>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</si>
  <si>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</si>
  <si>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</si>
  <si>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</si>
  <si>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</si>
  <si>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</si>
  <si>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</si>
  <si>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</si>
  <si>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</si>
  <si>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</si>
  <si>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</si>
  <si>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</si>
  <si>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</si>
  <si>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</si>
  <si>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</si>
  <si>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</si>
  <si>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</si>
  <si>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</si>
  <si>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</si>
  <si>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</si>
  <si>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</si>
  <si>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</si>
  <si>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</si>
  <si>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</si>
  <si>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</si>
  <si>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</si>
  <si>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</si>
  <si>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</si>
  <si>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</si>
  <si>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</si>
  <si>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</si>
  <si>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</si>
  <si>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</si>
  <si>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</si>
  <si>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</si>
  <si>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</si>
  <si>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</si>
  <si>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</si>
  <si>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</si>
  <si>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</si>
  <si>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</si>
  <si>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</si>
  <si>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</si>
  <si>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</si>
  <si>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</si>
  <si>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</si>
  <si>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</si>
  <si>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</si>
  <si>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</si>
  <si>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</si>
  <si>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</si>
  <si>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</si>
  <si>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</si>
  <si>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</si>
  <si>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</si>
  <si>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</si>
  <si>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</si>
  <si>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</si>
  <si>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</si>
  <si>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</si>
  <si>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</si>
  <si>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</si>
  <si>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</si>
  <si>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</si>
  <si>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</si>
  <si>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</si>
  <si>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</si>
  <si>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</si>
  <si>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</si>
  <si>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</si>
  <si>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</si>
  <si>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</si>
  <si>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</si>
  <si>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</si>
  <si>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</si>
  <si>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</si>
  <si>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</si>
  <si>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</si>
  <si>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</si>
  <si>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</si>
  <si>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</si>
  <si>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</si>
  <si>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</si>
  <si>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</si>
  <si>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</si>
  <si>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</si>
  <si>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</si>
  <si>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</si>
  <si>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</si>
  <si>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</si>
  <si>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</si>
  <si>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</si>
  <si>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</si>
  <si>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</si>
  <si>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</si>
  <si>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</si>
  <si>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</si>
  <si>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</si>
  <si>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</si>
  <si>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</si>
  <si>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</si>
  <si>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</si>
  <si>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</si>
  <si>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</si>
  <si>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</si>
  <si>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</si>
  <si>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</si>
  <si>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</si>
  <si>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</si>
  <si>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</si>
  <si>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</si>
  <si>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</si>
  <si>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</si>
  <si>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</si>
  <si>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</si>
  <si>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</si>
  <si>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</si>
  <si>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</si>
  <si>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</si>
  <si>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</si>
  <si>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</si>
  <si>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</si>
  <si>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</si>
  <si>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</si>
  <si>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</si>
  <si>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</si>
  <si>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</si>
  <si>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</si>
  <si>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</si>
  <si>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</si>
  <si>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</si>
  <si>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</si>
  <si>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</si>
  <si>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</si>
  <si>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</si>
  <si>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</si>
  <si>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</si>
  <si>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</si>
  <si>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</si>
  <si>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</si>
  <si>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</si>
  <si>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</si>
  <si>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</si>
  <si>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</si>
  <si>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</si>
  <si>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</si>
  <si>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</si>
  <si>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</si>
  <si>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</si>
  <si>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</si>
  <si>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</si>
  <si>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</si>
  <si>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</si>
  <si>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</si>
  <si>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</si>
  <si>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</si>
  <si>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</si>
  <si>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</si>
  <si>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</si>
  <si>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</si>
  <si>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</si>
  <si>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</si>
  <si>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</si>
  <si>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</si>
  <si>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</si>
  <si>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</si>
  <si>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</si>
  <si>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</si>
  <si>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</si>
  <si>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</si>
  <si>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</si>
  <si>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</si>
  <si>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</si>
  <si>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</si>
  <si>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</si>
  <si>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</si>
  <si>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</si>
  <si>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</si>
  <si>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</si>
  <si>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</si>
  <si>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</si>
  <si>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</si>
  <si>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</si>
  <si>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</si>
  <si>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</si>
  <si>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</si>
  <si>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</si>
  <si>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</si>
  <si>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</si>
  <si>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</si>
  <si>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</si>
  <si>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</si>
  <si>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</si>
  <si>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</si>
  <si>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</si>
  <si>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</si>
  <si>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</si>
  <si>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</si>
  <si>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</si>
  <si>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</si>
  <si>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</si>
  <si>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</si>
  <si>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</si>
  <si>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</si>
  <si>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</si>
  <si>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</si>
  <si>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</si>
  <si>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</si>
  <si>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</si>
  <si>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</si>
  <si>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</si>
  <si>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</si>
  <si>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</si>
  <si>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</si>
  <si>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</si>
  <si>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</si>
  <si>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</si>
  <si>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</si>
  <si>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</si>
  <si>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</si>
  <si>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</si>
  <si>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</si>
  <si>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</si>
  <si>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</si>
  <si>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</si>
  <si>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</si>
  <si>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</si>
  <si>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</si>
  <si>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</si>
  <si>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</si>
  <si>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</si>
  <si>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</si>
  <si>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</si>
  <si>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</si>
  <si>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</si>
  <si>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</si>
  <si>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</si>
  <si>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</si>
  <si>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</si>
  <si>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</si>
  <si>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</si>
  <si>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</si>
  <si>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</si>
  <si>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</si>
  <si>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</si>
  <si>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</si>
  <si>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</si>
  <si>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</si>
  <si>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</si>
  <si>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</si>
  <si>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</si>
  <si>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</si>
  <si>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</si>
  <si>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</si>
  <si>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</si>
  <si>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</si>
  <si>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</si>
  <si>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</si>
  <si>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</si>
  <si>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</si>
  <si>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</si>
  <si>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</si>
  <si>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</si>
  <si>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</si>
  <si>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</si>
  <si>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</si>
  <si>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</si>
  <si>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</si>
  <si>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</si>
  <si>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</si>
  <si>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</si>
  <si>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</si>
  <si>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</si>
  <si>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</si>
  <si>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</si>
  <si>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</si>
  <si>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</si>
  <si>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</si>
  <si>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</si>
  <si>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</si>
  <si>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</si>
  <si>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</si>
  <si>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</si>
  <si>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</si>
  <si>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</si>
  <si>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</si>
  <si>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</si>
  <si>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</si>
  <si>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</si>
  <si>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</si>
  <si>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</si>
  <si>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</si>
  <si>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</si>
  <si>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</si>
  <si>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</si>
  <si>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</si>
  <si>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</si>
  <si>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</si>
  <si>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</si>
  <si>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</si>
  <si>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</si>
  <si>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</si>
  <si>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</si>
  <si>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</si>
  <si>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</si>
  <si>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</si>
  <si>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</si>
  <si>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</si>
  <si>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</si>
  <si>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</si>
  <si>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</si>
  <si>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</si>
  <si>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</si>
  <si>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</si>
  <si>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</si>
  <si>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</si>
  <si>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</si>
  <si>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</si>
  <si>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</si>
  <si>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</si>
  <si>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</si>
  <si>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</si>
  <si>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</si>
  <si>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</si>
  <si>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</si>
  <si>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</si>
  <si>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</si>
  <si>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</si>
  <si>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</si>
  <si>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</si>
  <si>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</si>
  <si>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</si>
  <si>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</si>
  <si>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</si>
  <si>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</si>
  <si>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</si>
  <si>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</si>
  <si>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</si>
  <si>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</si>
  <si>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</si>
  <si>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</si>
  <si>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</si>
  <si>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</si>
  <si>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</si>
  <si>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</si>
  <si>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</si>
  <si>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</si>
  <si>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</si>
  <si>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</si>
  <si>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</si>
  <si>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</si>
  <si>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</si>
  <si>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</si>
  <si>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</si>
  <si>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</si>
  <si>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</si>
  <si>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</si>
  <si>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</si>
  <si>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</si>
  <si>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</si>
  <si>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</si>
  <si>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</si>
  <si>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</si>
  <si>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</si>
  <si>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</si>
  <si>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</si>
  <si>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</si>
  <si>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</si>
  <si>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</si>
  <si>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</si>
  <si>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</si>
  <si>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</si>
  <si>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</si>
  <si>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</si>
  <si>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</si>
  <si>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</si>
  <si>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</si>
  <si>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</si>
  <si>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</si>
  <si>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</si>
  <si>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</si>
  <si>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</si>
  <si>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</si>
  <si>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</si>
  <si>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</si>
  <si>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</si>
  <si>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</si>
  <si>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</si>
  <si>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</si>
  <si>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</si>
  <si>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</si>
  <si>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</si>
  <si>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</si>
  <si>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</si>
  <si>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</si>
  <si>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</si>
  <si>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</si>
  <si>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</si>
  <si>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</si>
  <si>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</si>
  <si>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</si>
  <si>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</si>
  <si>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</si>
  <si>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</si>
  <si>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</si>
  <si>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</si>
  <si>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</si>
  <si>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</si>
  <si>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</si>
  <si>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</si>
  <si>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</si>
  <si>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</si>
  <si>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</si>
  <si>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</si>
  <si>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</si>
  <si>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</si>
  <si>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</si>
  <si>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</si>
  <si>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</si>
  <si>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</si>
  <si>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</si>
  <si>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</si>
  <si>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</si>
  <si>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</si>
  <si>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</si>
  <si>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</si>
  <si>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</si>
  <si>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</si>
  <si>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</si>
  <si>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</si>
  <si>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</si>
  <si>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</si>
  <si>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</si>
  <si>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</si>
  <si>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</si>
  <si>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</si>
  <si>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</si>
  <si>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</si>
  <si>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</si>
  <si>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</si>
  <si>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</si>
  <si>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</si>
  <si>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</si>
  <si>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</si>
  <si>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</si>
  <si>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</si>
  <si>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</si>
  <si>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</si>
  <si>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</si>
  <si>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</si>
  <si>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</si>
  <si>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</si>
  <si>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</si>
  <si>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</si>
  <si>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</si>
  <si>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</si>
  <si>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</si>
  <si>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</si>
  <si>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</si>
  <si>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</si>
  <si>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</si>
  <si>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</si>
  <si>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</si>
  <si>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</si>
  <si>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</si>
  <si>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</si>
  <si>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</si>
  <si>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</si>
  <si>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</si>
  <si>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</si>
  <si>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</si>
  <si>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</si>
  <si>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</si>
  <si>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</si>
  <si>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</si>
  <si>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</si>
  <si>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</si>
  <si>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</si>
  <si>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</si>
  <si>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</si>
  <si>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</si>
  <si>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</si>
  <si>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</si>
  <si>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</si>
  <si>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</si>
  <si>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</si>
  <si>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</si>
  <si>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</si>
  <si>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</si>
  <si>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</si>
  <si>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</si>
  <si>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</si>
  <si>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</si>
  <si>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</si>
  <si>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</si>
  <si>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</si>
  <si>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</si>
  <si>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</si>
  <si>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</si>
  <si>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</si>
  <si>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</si>
  <si>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</si>
  <si>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</si>
  <si>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</si>
  <si>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</si>
  <si>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</si>
  <si>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</si>
  <si>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</si>
  <si>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</si>
  <si>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</si>
  <si>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</si>
  <si>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</si>
  <si>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</si>
  <si>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</si>
  <si>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</si>
  <si>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</si>
  <si>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</si>
  <si>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</si>
  <si>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</si>
  <si>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</si>
  <si>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</si>
  <si>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</si>
  <si>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</si>
  <si>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</si>
  <si>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</si>
  <si>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</si>
  <si>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</si>
  <si>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</si>
  <si>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</si>
  <si>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</si>
  <si>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</si>
  <si>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</si>
  <si>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</si>
  <si>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</si>
  <si>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</si>
  <si>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</si>
  <si>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</si>
  <si>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</si>
  <si>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</si>
  <si>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</si>
  <si>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</si>
  <si>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</si>
  <si>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</si>
  <si>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</si>
  <si>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</si>
  <si>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</si>
  <si>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</si>
  <si>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</si>
  <si>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</si>
  <si>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</si>
  <si>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</si>
  <si>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</si>
  <si>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</si>
  <si>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</si>
  <si>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</si>
  <si>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</si>
  <si>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</si>
  <si>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</si>
  <si>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</si>
  <si>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</si>
  <si>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</si>
  <si>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</si>
  <si>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</si>
  <si>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</si>
  <si>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</si>
  <si>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</si>
  <si>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</si>
  <si>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</si>
  <si>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</si>
  <si>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</si>
  <si>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</si>
  <si>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</si>
  <si>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</si>
  <si>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</si>
  <si>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</si>
  <si>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</si>
  <si>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</si>
  <si>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</si>
  <si>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</si>
  <si>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</si>
  <si>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</si>
  <si>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</si>
  <si>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</si>
  <si>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</si>
  <si>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</si>
  <si>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</si>
  <si>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</si>
  <si>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</si>
  <si>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</si>
  <si>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</si>
  <si>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</si>
  <si>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</si>
  <si>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</si>
  <si>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</si>
  <si>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</si>
  <si>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</si>
  <si>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</si>
  <si>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</si>
  <si>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</si>
  <si>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</si>
  <si>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</si>
  <si>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</si>
  <si>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</si>
  <si>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</si>
  <si>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</si>
  <si>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</si>
  <si>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</si>
  <si>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</si>
  <si>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</si>
  <si>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</si>
  <si>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</si>
  <si>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</si>
  <si>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</si>
  <si>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</si>
  <si>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</si>
  <si>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</si>
  <si>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</si>
  <si>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</si>
  <si>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</si>
  <si>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</si>
  <si>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</si>
  <si>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</si>
  <si>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</si>
  <si>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</si>
  <si>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</si>
  <si>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</si>
  <si>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</si>
  <si>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</si>
  <si>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</si>
  <si>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</si>
  <si>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</si>
  <si>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</si>
  <si>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</si>
  <si>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</si>
  <si>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</si>
  <si>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</si>
  <si>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</si>
  <si>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</si>
  <si>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</si>
  <si>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</si>
  <si>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</si>
  <si>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</si>
  <si>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</si>
  <si>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</si>
  <si>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</si>
  <si>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</si>
  <si>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</si>
  <si>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</si>
  <si>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</si>
  <si>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</si>
  <si>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</si>
  <si>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</si>
  <si>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</si>
  <si>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</si>
  <si>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</si>
  <si>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</si>
  <si>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</si>
  <si>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</si>
  <si>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</si>
  <si>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</si>
  <si>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</si>
  <si>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</si>
  <si>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</si>
  <si>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</si>
  <si>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</si>
  <si>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</si>
  <si>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</si>
  <si>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</si>
  <si>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</si>
  <si>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</si>
  <si>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</si>
  <si>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</si>
  <si>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</si>
  <si>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</si>
  <si>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</si>
  <si>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</si>
  <si>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</si>
  <si>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</si>
  <si>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</si>
  <si>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</si>
  <si>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</si>
  <si>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</si>
  <si>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</si>
  <si>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</si>
  <si>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</si>
  <si>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</si>
  <si>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</si>
  <si>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</si>
  <si>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</si>
  <si>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</si>
  <si>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</si>
  <si>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</si>
  <si>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call count</t>
  </si>
  <si>
    <t>total amount</t>
  </si>
  <si>
    <t>total duration</t>
  </si>
  <si>
    <t>Average Rating</t>
  </si>
  <si>
    <t>5*calls</t>
  </si>
  <si>
    <t>Row Labels</t>
  </si>
  <si>
    <t>Grand Total</t>
  </si>
  <si>
    <t>Jan</t>
  </si>
  <si>
    <t>Feb</t>
  </si>
  <si>
    <t>Mar</t>
  </si>
  <si>
    <t>Apr</t>
  </si>
  <si>
    <t>May</t>
  </si>
  <si>
    <t>Jun</t>
  </si>
  <si>
    <t>Jul</t>
  </si>
  <si>
    <t>Aug</t>
  </si>
  <si>
    <t>Sep</t>
  </si>
  <si>
    <t>Oct</t>
  </si>
  <si>
    <t>Nov</t>
  </si>
  <si>
    <t>Dec</t>
  </si>
  <si>
    <t>Sunday</t>
  </si>
  <si>
    <t>Monday</t>
  </si>
  <si>
    <t>Tuesday</t>
  </si>
  <si>
    <t>Wednesday</t>
  </si>
  <si>
    <t>Thursday</t>
  </si>
  <si>
    <t>Friday</t>
  </si>
  <si>
    <t>Saturday</t>
  </si>
  <si>
    <t>call count2</t>
  </si>
  <si>
    <t>for graph</t>
  </si>
  <si>
    <t>reps</t>
  </si>
  <si>
    <t>calls</t>
  </si>
  <si>
    <t>amount</t>
  </si>
  <si>
    <t>sel.call</t>
  </si>
  <si>
    <t>sel.amt</t>
  </si>
  <si>
    <t xml:space="preserve">selected </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</si>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</sst>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quot;₹&quot;\ #,##0;#,##0\ \-&quot;₹&quot;;&quot;₹&quot;\ #,##0"/>
    <numFmt numFmtId="166" formatCode="0.0"/>
    <numFmt numFmtId="167" formatCode="&quot;₹&quot;\ #,###.0,&quot;k&quot;"/>
    <numFmt numFmtId="168" formatCode="&quot;₹&quot;\ #,##0.00"/>
  </numFmts>
  <fonts count="8" x14ac:knownFonts="1">
    <font>
      <sz val="11"/>
      <color theme="1"/>
      <name val="Arial"/>
      <family val="2"/>
      <scheme val="minor"/>
    </font>
    <font>
      <b/>
      <sz val="11"/>
      <color theme="1"/>
      <name val="Arial"/>
      <family val="2"/>
      <scheme val="minor"/>
    </font>
    <font>
      <sz val="8"/>
      <name val="Arial"/>
      <family val="2"/>
      <scheme val="minor"/>
    </font>
    <font>
      <sz val="18"/>
      <color theme="1"/>
      <name val="Aptos ExtraBold"/>
      <family val="2"/>
    </font>
    <font>
      <sz val="11"/>
      <name val="Arial"/>
      <family val="2"/>
      <scheme val="minor"/>
    </font>
    <font>
      <b/>
      <sz val="11"/>
      <name val="Arial Black"/>
      <family val="2"/>
    </font>
    <font>
      <b/>
      <sz val="11"/>
      <name val="Arial"/>
      <family val="2"/>
      <scheme val="minor"/>
    </font>
    <font>
      <b/>
      <sz val="12"/>
      <name val="Arial"/>
      <family val="2"/>
      <scheme val="minor"/>
    </font>
  </fonts>
  <fills count="5">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6"/>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4">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3" borderId="0" xfId="0" applyFill="1"/>
    <xf numFmtId="0" fontId="0" fillId="0" borderId="0" xfId="0" applyAlignment="1">
      <alignment horizontal="left"/>
    </xf>
    <xf numFmtId="167" fontId="0" fillId="0" borderId="0" xfId="0" applyNumberFormat="1"/>
    <xf numFmtId="0" fontId="4" fillId="4" borderId="0" xfId="0" applyFont="1" applyFill="1" applyAlignment="1">
      <alignment horizontal="left"/>
    </xf>
    <xf numFmtId="0" fontId="0" fillId="0" borderId="0" xfId="0" applyAlignment="1">
      <alignment horizontal="left" indent="1"/>
    </xf>
    <xf numFmtId="0" fontId="4" fillId="3" borderId="0" xfId="0" applyFont="1" applyFill="1"/>
    <xf numFmtId="0" fontId="6" fillId="3" borderId="0" xfId="0" applyFont="1" applyFill="1"/>
    <xf numFmtId="0" fontId="7" fillId="3" borderId="0" xfId="0" applyFont="1" applyFill="1"/>
    <xf numFmtId="168" fontId="6" fillId="3" borderId="0" xfId="0" applyNumberFormat="1" applyFont="1" applyFill="1"/>
    <xf numFmtId="168" fontId="5" fillId="3" borderId="0" xfId="0" applyNumberFormat="1" applyFont="1" applyFill="1" applyAlignment="1">
      <alignment horizontal="center" vertical="center"/>
    </xf>
  </cellXfs>
  <cellStyles count="1">
    <cellStyle name="Normal" xfId="0" builtinId="0"/>
  </cellStyles>
  <dxfs count="19">
    <dxf>
      <fill>
        <patternFill>
          <bgColor theme="6" tint="0.39994506668294322"/>
        </patternFill>
      </fill>
    </dxf>
    <dxf>
      <border diagonalUp="0" diagonalDown="0">
        <left/>
        <right style="thin">
          <color indexed="64"/>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rial"/>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color auto="1"/>
      </font>
    </dxf>
    <dxf>
      <fill>
        <patternFill patternType="solid">
          <bgColor theme="6"/>
        </patternFill>
      </fill>
    </dxf>
    <dxf>
      <font>
        <color rgb="FFFF0000"/>
      </font>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1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styles" Target="styles.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microsoft.com/office/2017/06/relationships/rdRichValueTypes" Target="richData/rdRichValueTypes.xml"/><Relationship Id="rId5" Type="http://schemas.openxmlformats.org/officeDocument/2006/relationships/pivotCacheDefinition" Target="pivotCache/pivotCacheDefinition2.xml"/><Relationship Id="rId15" Type="http://schemas.openxmlformats.org/officeDocument/2006/relationships/theme" Target="theme/theme1.xml"/><Relationship Id="rId23" Type="http://schemas.microsoft.com/office/2022/10/relationships/richValueRel" Target="richData/richValueRel.xml"/><Relationship Id="rId10" Type="http://schemas.openxmlformats.org/officeDocument/2006/relationships/pivotCacheDefinition" Target="pivotCache/pivotCacheDefinition7.xml"/><Relationship Id="rId19"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 Id="rId22"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sheet!weeky trend</c:name>
    <c:fmtId val="5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effectLst/>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2019040123166"/>
          <c:y val="4.1181166819980922E-2"/>
          <c:w val="0.71391097329377184"/>
          <c:h val="0.93010613330342906"/>
        </c:manualLayout>
      </c:layout>
      <c:barChart>
        <c:barDir val="bar"/>
        <c:grouping val="clustered"/>
        <c:varyColors val="0"/>
        <c:ser>
          <c:idx val="0"/>
          <c:order val="0"/>
          <c:tx>
            <c:strRef>
              <c:f>'pivot sheet'!$F$14</c:f>
              <c:strCache>
                <c:ptCount val="1"/>
                <c:pt idx="0">
                  <c:v>Total</c:v>
                </c:pt>
              </c:strCache>
            </c:strRef>
          </c:tx>
          <c:spPr>
            <a:solidFill>
              <a:schemeClr val="accent3"/>
            </a:solidFill>
            <a:ln>
              <a:solidFill>
                <a:srgbClr val="00206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effectLst/>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sheet'!$E$15:$E$22</c:f>
              <c:strCache>
                <c:ptCount val="7"/>
                <c:pt idx="0">
                  <c:v>Saturday</c:v>
                </c:pt>
                <c:pt idx="1">
                  <c:v>Friday</c:v>
                </c:pt>
                <c:pt idx="2">
                  <c:v>Thursday</c:v>
                </c:pt>
                <c:pt idx="3">
                  <c:v>Wednesday</c:v>
                </c:pt>
                <c:pt idx="4">
                  <c:v>Tuesday</c:v>
                </c:pt>
                <c:pt idx="5">
                  <c:v>Monday</c:v>
                </c:pt>
                <c:pt idx="6">
                  <c:v>Sunday</c:v>
                </c:pt>
              </c:strCache>
            </c:strRef>
          </c:cat>
          <c:val>
            <c:numRef>
              <c:f>'pivot sheet'!$F$15:$F$22</c:f>
              <c:numCache>
                <c:formatCode>#,##0</c:formatCode>
                <c:ptCount val="7"/>
                <c:pt idx="0">
                  <c:v>38</c:v>
                </c:pt>
                <c:pt idx="1">
                  <c:v>32</c:v>
                </c:pt>
                <c:pt idx="2">
                  <c:v>27</c:v>
                </c:pt>
                <c:pt idx="3">
                  <c:v>27</c:v>
                </c:pt>
                <c:pt idx="4">
                  <c:v>27</c:v>
                </c:pt>
                <c:pt idx="5">
                  <c:v>22</c:v>
                </c:pt>
                <c:pt idx="6">
                  <c:v>27</c:v>
                </c:pt>
              </c:numCache>
            </c:numRef>
          </c:val>
          <c:extLst>
            <c:ext xmlns:c16="http://schemas.microsoft.com/office/drawing/2014/chart" uri="{C3380CC4-5D6E-409C-BE32-E72D297353CC}">
              <c16:uniqueId val="{00000000-9FC9-413A-9BE0-9778742FDFDE}"/>
            </c:ext>
          </c:extLst>
        </c:ser>
        <c:dLbls>
          <c:dLblPos val="outEnd"/>
          <c:showLegendKey val="0"/>
          <c:showVal val="1"/>
          <c:showCatName val="0"/>
          <c:showSerName val="0"/>
          <c:showPercent val="0"/>
          <c:showBubbleSize val="0"/>
        </c:dLbls>
        <c:gapWidth val="30"/>
        <c:axId val="662914543"/>
        <c:axId val="662912623"/>
      </c:barChart>
      <c:catAx>
        <c:axId val="6629145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662912623"/>
        <c:crosses val="autoZero"/>
        <c:auto val="1"/>
        <c:lblAlgn val="ctr"/>
        <c:lblOffset val="100"/>
        <c:noMultiLvlLbl val="0"/>
      </c:catAx>
      <c:valAx>
        <c:axId val="662912623"/>
        <c:scaling>
          <c:orientation val="minMax"/>
        </c:scaling>
        <c:delete val="1"/>
        <c:axPos val="b"/>
        <c:numFmt formatCode="#,##0" sourceLinked="1"/>
        <c:majorTickMark val="out"/>
        <c:minorTickMark val="none"/>
        <c:tickLblPos val="nextTo"/>
        <c:crossAx val="662914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sheet!monthly trend</c:name>
    <c:fmtId val="37"/>
  </c:pivotSource>
  <c:chart>
    <c:title>
      <c:tx>
        <c:rich>
          <a:bodyPr rot="0" spcFirstLastPara="1" vertOverflow="ellipsis" vert="horz" wrap="square" anchor="ctr" anchorCtr="1"/>
          <a:lstStyle/>
          <a:p>
            <a:pPr algn="l">
              <a:defRPr sz="1600" b="0" i="0" u="none" strike="noStrike" kern="1200" spc="0" baseline="0">
                <a:solidFill>
                  <a:schemeClr val="tx1">
                    <a:lumMod val="65000"/>
                    <a:lumOff val="35000"/>
                  </a:schemeClr>
                </a:solidFill>
                <a:latin typeface="Arial Black" panose="020B0A04020102020204" pitchFamily="34" charset="0"/>
                <a:ea typeface="+mn-ea"/>
                <a:cs typeface="+mn-cs"/>
              </a:defRPr>
            </a:pPr>
            <a:r>
              <a:rPr lang="en-IN" sz="1600">
                <a:latin typeface="Arial Black" panose="020B0A04020102020204" pitchFamily="34" charset="0"/>
              </a:rPr>
              <a:t>Call</a:t>
            </a:r>
            <a:r>
              <a:rPr lang="en-IN" sz="1600" baseline="0">
                <a:latin typeface="Arial Black" panose="020B0A04020102020204" pitchFamily="34" charset="0"/>
              </a:rPr>
              <a:t> Trend</a:t>
            </a:r>
            <a:endParaRPr lang="en-IN" sz="1600">
              <a:latin typeface="Arial Black" panose="020B0A04020102020204" pitchFamily="34" charset="0"/>
            </a:endParaRPr>
          </a:p>
        </c:rich>
      </c:tx>
      <c:layout>
        <c:manualLayout>
          <c:xMode val="edge"/>
          <c:yMode val="edge"/>
          <c:x val="0.39077862169385535"/>
          <c:y val="0"/>
        </c:manualLayout>
      </c:layout>
      <c:overlay val="0"/>
      <c:spPr>
        <a:solidFill>
          <a:schemeClr val="accent3">
            <a:lumMod val="60000"/>
            <a:lumOff val="40000"/>
          </a:schemeClr>
        </a:solidFill>
        <a:ln>
          <a:noFill/>
        </a:ln>
        <a:effectLst/>
      </c:spPr>
      <c:txPr>
        <a:bodyPr rot="0" spcFirstLastPara="1" vertOverflow="ellipsis" vert="horz" wrap="square" anchor="ctr" anchorCtr="1"/>
        <a:lstStyle/>
        <a:p>
          <a:pPr algn="l">
            <a:defRPr sz="1600" b="0" i="0" u="none" strike="noStrike" kern="1200" spc="0" baseline="0">
              <a:solidFill>
                <a:schemeClr val="tx1">
                  <a:lumMod val="65000"/>
                  <a:lumOff val="35000"/>
                </a:schemeClr>
              </a:solidFill>
              <a:latin typeface="Arial Black" panose="020B0A04020102020204" pitchFamily="34" charset="0"/>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3">
                  <a:lumMod val="78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c:spPr>
        <c:marker>
          <c:symbol val="circle"/>
          <c:size val="10"/>
          <c:spPr>
            <a:solidFill>
              <a:schemeClr val="bg1"/>
            </a:solidFill>
            <a:ln w="25400">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871238373393909E-2"/>
          <c:y val="7.3502574941337204E-2"/>
          <c:w val="0.88763200338308468"/>
          <c:h val="0.84849281740216864"/>
        </c:manualLayout>
      </c:layout>
      <c:areaChart>
        <c:grouping val="standard"/>
        <c:varyColors val="0"/>
        <c:ser>
          <c:idx val="1"/>
          <c:order val="1"/>
          <c:tx>
            <c:strRef>
              <c:f>'pivot sheet'!$C$14</c:f>
              <c:strCache>
                <c:ptCount val="1"/>
                <c:pt idx="0">
                  <c:v>call count2</c:v>
                </c:pt>
              </c:strCache>
            </c:strRef>
          </c:tx>
          <c:spPr>
            <a:gradFill>
              <a:gsLst>
                <a:gs pos="0">
                  <a:schemeClr val="accent3">
                    <a:lumMod val="78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rgbClr val="00B050"/>
              </a:solidFill>
            </a:ln>
            <a:effectLst/>
          </c:spPr>
          <c:cat>
            <c:strRef>
              <c:f>'pivot sheet'!$A$15:$A$27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sheet'!$C$15:$C$27</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extLst>
            <c:ext xmlns:c16="http://schemas.microsoft.com/office/drawing/2014/chart" uri="{C3380CC4-5D6E-409C-BE32-E72D297353CC}">
              <c16:uniqueId val="{00000000-85AF-4A60-8FF6-7BD8EF01357E}"/>
            </c:ext>
          </c:extLst>
        </c:ser>
        <c:dLbls>
          <c:showLegendKey val="0"/>
          <c:showVal val="0"/>
          <c:showCatName val="0"/>
          <c:showSerName val="0"/>
          <c:showPercent val="0"/>
          <c:showBubbleSize val="0"/>
        </c:dLbls>
        <c:axId val="567641135"/>
        <c:axId val="567647375"/>
      </c:areaChart>
      <c:lineChart>
        <c:grouping val="standard"/>
        <c:varyColors val="0"/>
        <c:ser>
          <c:idx val="0"/>
          <c:order val="0"/>
          <c:tx>
            <c:strRef>
              <c:f>'pivot sheet'!$B$14</c:f>
              <c:strCache>
                <c:ptCount val="1"/>
                <c:pt idx="0">
                  <c:v>call count</c:v>
                </c:pt>
              </c:strCache>
            </c:strRef>
          </c:tx>
          <c:spPr>
            <a:ln w="34925" cap="rnd">
              <a:solidFill>
                <a:schemeClr val="accent1"/>
              </a:solidFill>
              <a:round/>
            </a:ln>
            <a:effectLst/>
          </c:spPr>
          <c:marker>
            <c:symbol val="circle"/>
            <c:size val="10"/>
            <c:spPr>
              <a:solidFill>
                <a:schemeClr val="bg1"/>
              </a:solidFill>
              <a:ln w="25400">
                <a:solidFill>
                  <a:srgbClr val="002060"/>
                </a:solidFill>
              </a:ln>
              <a:effectLst/>
            </c:spPr>
          </c:marker>
          <c:cat>
            <c:strRef>
              <c:f>'pivot sheet'!$A$15:$A$27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sheet'!$B$15:$B$27</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smooth val="0"/>
          <c:extLst>
            <c:ext xmlns:c16="http://schemas.microsoft.com/office/drawing/2014/chart" uri="{C3380CC4-5D6E-409C-BE32-E72D297353CC}">
              <c16:uniqueId val="{00000001-85AF-4A60-8FF6-7BD8EF01357E}"/>
            </c:ext>
          </c:extLst>
        </c:ser>
        <c:dLbls>
          <c:showLegendKey val="0"/>
          <c:showVal val="0"/>
          <c:showCatName val="0"/>
          <c:showSerName val="0"/>
          <c:showPercent val="0"/>
          <c:showBubbleSize val="0"/>
        </c:dLbls>
        <c:marker val="1"/>
        <c:smooth val="0"/>
        <c:axId val="567641135"/>
        <c:axId val="567647375"/>
      </c:lineChart>
      <c:catAx>
        <c:axId val="567641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567647375"/>
        <c:crosses val="autoZero"/>
        <c:auto val="1"/>
        <c:lblAlgn val="ctr"/>
        <c:lblOffset val="100"/>
        <c:noMultiLvlLbl val="0"/>
      </c:catAx>
      <c:valAx>
        <c:axId val="5676473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567641135"/>
        <c:crosses val="autoZero"/>
        <c:crossBetween val="between"/>
      </c:valAx>
      <c:spPr>
        <a:noFill/>
        <a:ln>
          <a:noFill/>
        </a:ln>
        <a:effectLst>
          <a:outerShdw blurRad="50800" dist="38100" dir="2700000" algn="tl"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004502743886441"/>
          <c:y val="5.1388888888888887E-2"/>
          <c:w val="0.85995497256113562"/>
          <c:h val="0.89314814814814802"/>
        </c:manualLayout>
      </c:layout>
      <c:barChart>
        <c:barDir val="bar"/>
        <c:grouping val="clustered"/>
        <c:varyColors val="0"/>
        <c:ser>
          <c:idx val="0"/>
          <c:order val="0"/>
          <c:spPr>
            <a:solidFill>
              <a:schemeClr val="bg1">
                <a:lumMod val="95000"/>
              </a:schemeClr>
            </a:solidFill>
            <a:ln>
              <a:solidFill>
                <a:srgbClr val="002060">
                  <a:alpha val="90000"/>
                </a:srgb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sheet'!$E$34:$E$38</c:f>
              <c:strCache>
                <c:ptCount val="5"/>
                <c:pt idx="0">
                  <c:v>R01</c:v>
                </c:pt>
                <c:pt idx="1">
                  <c:v>R02</c:v>
                </c:pt>
                <c:pt idx="2">
                  <c:v>R03</c:v>
                </c:pt>
                <c:pt idx="3">
                  <c:v>R04</c:v>
                </c:pt>
                <c:pt idx="4">
                  <c:v>R05</c:v>
                </c:pt>
              </c:strCache>
            </c:strRef>
          </c:cat>
          <c:val>
            <c:numRef>
              <c:f>'pivot sheet'!$G$34:$G$38</c:f>
              <c:numCache>
                <c:formatCode>"₹"\ #,###.0,"k"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BB1E-4EF5-A33C-35262FACE61A}"/>
            </c:ext>
          </c:extLst>
        </c:ser>
        <c:ser>
          <c:idx val="1"/>
          <c:order val="1"/>
          <c:tx>
            <c:strRef>
              <c:f>'pivot sheet'!$I$33</c:f>
              <c:strCache>
                <c:ptCount val="1"/>
                <c:pt idx="0">
                  <c:v>sel.amt</c:v>
                </c:pt>
              </c:strCache>
            </c:strRef>
          </c:tx>
          <c:spPr>
            <a:gradFill>
              <a:gsLst>
                <a:gs pos="100000">
                  <a:schemeClr val="bg1"/>
                </a:gs>
                <a:gs pos="100000">
                  <a:schemeClr val="accent1">
                    <a:lumMod val="45000"/>
                    <a:lumOff val="55000"/>
                  </a:schemeClr>
                </a:gs>
                <a:gs pos="31000">
                  <a:schemeClr val="accent3">
                    <a:lumMod val="50000"/>
                  </a:schemeClr>
                </a:gs>
                <a:gs pos="64000">
                  <a:schemeClr val="accent3">
                    <a:lumMod val="50000"/>
                  </a:schemeClr>
                </a:gs>
              </a:gsLst>
              <a:lin ang="10800000" scaled="1"/>
            </a:gradFill>
            <a:ln>
              <a:solidFill>
                <a:srgbClr val="002060"/>
              </a:solidFill>
            </a:ln>
            <a:effectLst/>
          </c:spPr>
          <c:invertIfNegative val="0"/>
          <c:dLbls>
            <c:delete val="1"/>
          </c:dLbls>
          <c:val>
            <c:numRef>
              <c:f>'pivot sheet'!$I$34:$I$38</c:f>
              <c:numCache>
                <c:formatCode>General</c:formatCode>
                <c:ptCount val="5"/>
                <c:pt idx="0">
                  <c:v>#N/A</c:v>
                </c:pt>
                <c:pt idx="1">
                  <c:v>#N/A</c:v>
                </c:pt>
                <c:pt idx="2">
                  <c:v>#N/A</c:v>
                </c:pt>
                <c:pt idx="3">
                  <c:v>#N/A</c:v>
                </c:pt>
                <c:pt idx="4">
                  <c:v>20104</c:v>
                </c:pt>
              </c:numCache>
            </c:numRef>
          </c:val>
          <c:extLst>
            <c:ext xmlns:c16="http://schemas.microsoft.com/office/drawing/2014/chart" uri="{C3380CC4-5D6E-409C-BE32-E72D297353CC}">
              <c16:uniqueId val="{00000001-BB1E-4EF5-A33C-35262FACE61A}"/>
            </c:ext>
          </c:extLst>
        </c:ser>
        <c:dLbls>
          <c:dLblPos val="outEnd"/>
          <c:showLegendKey val="0"/>
          <c:showVal val="1"/>
          <c:showCatName val="0"/>
          <c:showSerName val="0"/>
          <c:showPercent val="0"/>
          <c:showBubbleSize val="0"/>
        </c:dLbls>
        <c:gapWidth val="25"/>
        <c:overlap val="100"/>
        <c:axId val="1248786143"/>
        <c:axId val="1248784703"/>
      </c:barChart>
      <c:catAx>
        <c:axId val="1248786143"/>
        <c:scaling>
          <c:orientation val="maxMin"/>
        </c:scaling>
        <c:delete val="1"/>
        <c:axPos val="l"/>
        <c:numFmt formatCode="General" sourceLinked="1"/>
        <c:majorTickMark val="none"/>
        <c:minorTickMark val="none"/>
        <c:tickLblPos val="nextTo"/>
        <c:crossAx val="1248784703"/>
        <c:crosses val="autoZero"/>
        <c:auto val="1"/>
        <c:lblAlgn val="ctr"/>
        <c:lblOffset val="100"/>
        <c:noMultiLvlLbl val="0"/>
      </c:catAx>
      <c:valAx>
        <c:axId val="1248784703"/>
        <c:scaling>
          <c:orientation val="minMax"/>
        </c:scaling>
        <c:delete val="1"/>
        <c:axPos val="t"/>
        <c:numFmt formatCode="&quot;₹&quot;\ #,###.0,&quot;k&quot;" sourceLinked="1"/>
        <c:majorTickMark val="none"/>
        <c:minorTickMark val="none"/>
        <c:tickLblPos val="nextTo"/>
        <c:crossAx val="1248786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1">
                <a:lumMod val="95000"/>
              </a:schemeClr>
            </a:solidFill>
            <a:ln>
              <a:solidFill>
                <a:srgbClr val="00206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sheet'!$E$34:$E$38</c:f>
              <c:strCache>
                <c:ptCount val="5"/>
                <c:pt idx="0">
                  <c:v>R01</c:v>
                </c:pt>
                <c:pt idx="1">
                  <c:v>R02</c:v>
                </c:pt>
                <c:pt idx="2">
                  <c:v>R03</c:v>
                </c:pt>
                <c:pt idx="3">
                  <c:v>R04</c:v>
                </c:pt>
                <c:pt idx="4">
                  <c:v>R05</c:v>
                </c:pt>
              </c:strCache>
            </c:strRef>
          </c:cat>
          <c:val>
            <c:numRef>
              <c:f>'pivot sheet'!$F$34:$F$38</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8D8B-47F5-93F6-808F260C8D70}"/>
            </c:ext>
          </c:extLst>
        </c:ser>
        <c:ser>
          <c:idx val="1"/>
          <c:order val="1"/>
          <c:tx>
            <c:strRef>
              <c:f>'pivot sheet'!$H$33</c:f>
              <c:strCache>
                <c:ptCount val="1"/>
                <c:pt idx="0">
                  <c:v>sel.call</c:v>
                </c:pt>
              </c:strCache>
            </c:strRef>
          </c:tx>
          <c:spPr>
            <a:gradFill flip="none" rotWithShape="1">
              <a:gsLst>
                <a:gs pos="100000">
                  <a:schemeClr val="bg1"/>
                </a:gs>
                <a:gs pos="100000">
                  <a:schemeClr val="accent1">
                    <a:lumMod val="45000"/>
                    <a:lumOff val="55000"/>
                  </a:schemeClr>
                </a:gs>
                <a:gs pos="70000">
                  <a:srgbClr val="92D050"/>
                </a:gs>
              </a:gsLst>
              <a:lin ang="10800000" scaled="1"/>
              <a:tileRect/>
            </a:gradFill>
            <a:ln>
              <a:solidFill>
                <a:srgbClr val="002060"/>
              </a:solidFill>
            </a:ln>
            <a:effectLst/>
          </c:spPr>
          <c:invertIfNegative val="0"/>
          <c:val>
            <c:numRef>
              <c:f>'pivot sheet'!$H$34:$H$38</c:f>
              <c:numCache>
                <c:formatCode>General</c:formatCode>
                <c:ptCount val="5"/>
                <c:pt idx="0">
                  <c:v>#N/A</c:v>
                </c:pt>
                <c:pt idx="1">
                  <c:v>#N/A</c:v>
                </c:pt>
                <c:pt idx="2">
                  <c:v>#N/A</c:v>
                </c:pt>
                <c:pt idx="3">
                  <c:v>#N/A</c:v>
                </c:pt>
                <c:pt idx="4">
                  <c:v>200</c:v>
                </c:pt>
              </c:numCache>
            </c:numRef>
          </c:val>
          <c:extLst>
            <c:ext xmlns:c16="http://schemas.microsoft.com/office/drawing/2014/chart" uri="{C3380CC4-5D6E-409C-BE32-E72D297353CC}">
              <c16:uniqueId val="{00000001-8D8B-47F5-93F6-808F260C8D70}"/>
            </c:ext>
          </c:extLst>
        </c:ser>
        <c:dLbls>
          <c:showLegendKey val="0"/>
          <c:showVal val="0"/>
          <c:showCatName val="0"/>
          <c:showSerName val="0"/>
          <c:showPercent val="0"/>
          <c:showBubbleSize val="0"/>
        </c:dLbls>
        <c:gapWidth val="25"/>
        <c:overlap val="100"/>
        <c:axId val="928145487"/>
        <c:axId val="928144047"/>
      </c:barChart>
      <c:catAx>
        <c:axId val="92814548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144047"/>
        <c:crosses val="autoZero"/>
        <c:auto val="1"/>
        <c:lblAlgn val="ctr"/>
        <c:lblOffset val="100"/>
        <c:noMultiLvlLbl val="0"/>
      </c:catAx>
      <c:valAx>
        <c:axId val="928144047"/>
        <c:scaling>
          <c:orientation val="minMax"/>
          <c:min val="0"/>
        </c:scaling>
        <c:delete val="1"/>
        <c:axPos val="t"/>
        <c:numFmt formatCode="General" sourceLinked="1"/>
        <c:majorTickMark val="none"/>
        <c:minorTickMark val="none"/>
        <c:tickLblPos val="nextTo"/>
        <c:crossAx val="928145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sheet!gender pivot</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solidFill>
                  <a:schemeClr val="accent3">
                    <a:lumMod val="50000"/>
                  </a:schemeClr>
                </a:solidFill>
                <a:latin typeface="Arial Black" panose="020B0A04020102020204" pitchFamily="34" charset="0"/>
              </a:rPr>
              <a:t>MEN</a:t>
            </a:r>
            <a:r>
              <a:rPr lang="en-IN" sz="1600" baseline="0">
                <a:latin typeface="Arial Black" panose="020B0A04020102020204" pitchFamily="34" charset="0"/>
              </a:rPr>
              <a:t> VS </a:t>
            </a:r>
            <a:r>
              <a:rPr lang="en-IN" sz="1600" baseline="0">
                <a:solidFill>
                  <a:schemeClr val="accent2">
                    <a:lumMod val="75000"/>
                  </a:schemeClr>
                </a:solidFill>
                <a:latin typeface="Arial Black" panose="020B0A04020102020204" pitchFamily="34" charset="0"/>
              </a:rPr>
              <a:t>FEMALE</a:t>
            </a:r>
            <a:r>
              <a:rPr lang="en-IN" sz="1600" baseline="0">
                <a:latin typeface="Arial Black" panose="020B0A04020102020204" pitchFamily="34" charset="0"/>
              </a:rPr>
              <a:t> CALLS</a:t>
            </a:r>
            <a:endParaRPr lang="en-IN" sz="1600">
              <a:latin typeface="Arial Black" panose="020B0A04020102020204" pitchFamily="34" charset="0"/>
            </a:endParaRPr>
          </a:p>
        </c:rich>
      </c:tx>
      <c:layout>
        <c:manualLayout>
          <c:xMode val="edge"/>
          <c:yMode val="edge"/>
          <c:x val="0.16307514707752702"/>
          <c:y val="2.45493961557320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bg1"/>
              </a:gs>
              <a:gs pos="74000">
                <a:srgbClr val="0070C0"/>
              </a:gs>
              <a:gs pos="8000">
                <a:schemeClr val="accent1">
                  <a:lumMod val="45000"/>
                  <a:lumOff val="55000"/>
                </a:schemeClr>
              </a:gs>
              <a:gs pos="100000">
                <a:srgbClr val="0070C0"/>
              </a:gs>
            </a:gsLst>
            <a:lin ang="16200000" scaled="1"/>
            <a:tileRect/>
          </a:gradFill>
          <a:ln>
            <a:noFill/>
          </a:ln>
          <a:effectLst/>
        </c:spPr>
        <c:marker>
          <c:symbol val="none"/>
        </c:marker>
        <c:dLbl>
          <c:idx val="0"/>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bg1"/>
              </a:gs>
              <a:gs pos="40000">
                <a:srgbClr val="ABC688"/>
              </a:gs>
              <a:gs pos="100000">
                <a:schemeClr val="accent3">
                  <a:lumMod val="50000"/>
                </a:schemeClr>
              </a:gs>
            </a:gsLst>
            <a:lin ang="5400000" scaled="1"/>
            <a:tileRect/>
          </a:gradFill>
          <a:ln>
            <a:noFill/>
          </a:ln>
          <a:effectLst/>
        </c:spPr>
        <c:marker>
          <c:symbol val="none"/>
        </c:marker>
        <c:dLbl>
          <c:idx val="0"/>
          <c:spPr>
            <a:solidFill>
              <a:schemeClr val="accent3">
                <a:lumMod val="60000"/>
                <a:lumOff val="4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bg1"/>
              </a:gs>
              <a:gs pos="74000">
                <a:srgbClr val="0070C0"/>
              </a:gs>
              <a:gs pos="8000">
                <a:schemeClr val="accent1">
                  <a:lumMod val="45000"/>
                  <a:lumOff val="55000"/>
                </a:schemeClr>
              </a:gs>
              <a:gs pos="100000">
                <a:srgbClr val="0070C0"/>
              </a:gs>
            </a:gsLst>
            <a:lin ang="16200000" scaled="1"/>
            <a:tileRect/>
          </a:gradFill>
          <a:ln>
            <a:noFill/>
          </a:ln>
          <a:effectLst/>
        </c:spPr>
      </c:pivotFmt>
    </c:pivotFmts>
    <c:plotArea>
      <c:layout>
        <c:manualLayout>
          <c:layoutTarget val="inner"/>
          <c:xMode val="edge"/>
          <c:yMode val="edge"/>
          <c:x val="3.3450293629886031E-2"/>
          <c:y val="0.17463860867003209"/>
          <c:w val="0.9330994127402279"/>
          <c:h val="0.71074058973999465"/>
        </c:manualLayout>
      </c:layout>
      <c:barChart>
        <c:barDir val="col"/>
        <c:grouping val="percentStacked"/>
        <c:varyColors val="0"/>
        <c:ser>
          <c:idx val="0"/>
          <c:order val="0"/>
          <c:tx>
            <c:strRef>
              <c:f>'pivot sheet'!$B$46:$B$47</c:f>
              <c:strCache>
                <c:ptCount val="1"/>
                <c:pt idx="0">
                  <c:v>Female</c:v>
                </c:pt>
              </c:strCache>
            </c:strRef>
          </c:tx>
          <c:spPr>
            <a:gradFill flip="none" rotWithShape="1">
              <a:gsLst>
                <a:gs pos="0">
                  <a:schemeClr val="bg1"/>
                </a:gs>
                <a:gs pos="74000">
                  <a:srgbClr val="0070C0"/>
                </a:gs>
                <a:gs pos="8000">
                  <a:schemeClr val="accent1">
                    <a:lumMod val="45000"/>
                    <a:lumOff val="55000"/>
                  </a:schemeClr>
                </a:gs>
                <a:gs pos="100000">
                  <a:srgbClr val="0070C0"/>
                </a:gs>
              </a:gsLst>
              <a:lin ang="16200000" scaled="1"/>
              <a:tileRect/>
            </a:gradFill>
            <a:ln>
              <a:noFill/>
            </a:ln>
            <a:effectLst/>
          </c:spPr>
          <c:invertIfNegative val="0"/>
          <c:dLbls>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sheet'!$A$48:$A$51</c:f>
              <c:strCache>
                <c:ptCount val="3"/>
                <c:pt idx="0">
                  <c:v>Cincinnati</c:v>
                </c:pt>
                <c:pt idx="1">
                  <c:v>Cleveland</c:v>
                </c:pt>
                <c:pt idx="2">
                  <c:v>Columbus</c:v>
                </c:pt>
              </c:strCache>
            </c:strRef>
          </c:cat>
          <c:val>
            <c:numRef>
              <c:f>'pivot sheet'!$B$48:$B$51</c:f>
              <c:numCache>
                <c:formatCode>#,##0</c:formatCode>
                <c:ptCount val="3"/>
                <c:pt idx="0">
                  <c:v>144</c:v>
                </c:pt>
                <c:pt idx="1">
                  <c:v>326</c:v>
                </c:pt>
                <c:pt idx="2">
                  <c:v>129</c:v>
                </c:pt>
              </c:numCache>
            </c:numRef>
          </c:val>
          <c:extLst>
            <c:ext xmlns:c16="http://schemas.microsoft.com/office/drawing/2014/chart" uri="{C3380CC4-5D6E-409C-BE32-E72D297353CC}">
              <c16:uniqueId val="{00000000-4950-4082-9EB5-043E01F47885}"/>
            </c:ext>
          </c:extLst>
        </c:ser>
        <c:ser>
          <c:idx val="1"/>
          <c:order val="1"/>
          <c:tx>
            <c:strRef>
              <c:f>'pivot sheet'!$C$46:$C$47</c:f>
              <c:strCache>
                <c:ptCount val="1"/>
                <c:pt idx="0">
                  <c:v>Male</c:v>
                </c:pt>
              </c:strCache>
            </c:strRef>
          </c:tx>
          <c:spPr>
            <a:gradFill flip="none" rotWithShape="1">
              <a:gsLst>
                <a:gs pos="0">
                  <a:schemeClr val="bg1"/>
                </a:gs>
                <a:gs pos="40000">
                  <a:srgbClr val="ABC688"/>
                </a:gs>
                <a:gs pos="100000">
                  <a:schemeClr val="accent3">
                    <a:lumMod val="50000"/>
                  </a:schemeClr>
                </a:gs>
              </a:gsLst>
              <a:lin ang="5400000" scaled="1"/>
              <a:tileRect/>
            </a:gradFill>
            <a:ln>
              <a:noFill/>
            </a:ln>
            <a:effectLst/>
          </c:spPr>
          <c:invertIfNegative val="0"/>
          <c:dLbls>
            <c:spPr>
              <a:solidFill>
                <a:schemeClr val="accent3">
                  <a:lumMod val="60000"/>
                  <a:lumOff val="4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sheet'!$A$48:$A$51</c:f>
              <c:strCache>
                <c:ptCount val="3"/>
                <c:pt idx="0">
                  <c:v>Cincinnati</c:v>
                </c:pt>
                <c:pt idx="1">
                  <c:v>Cleveland</c:v>
                </c:pt>
                <c:pt idx="2">
                  <c:v>Columbus</c:v>
                </c:pt>
              </c:strCache>
            </c:strRef>
          </c:cat>
          <c:val>
            <c:numRef>
              <c:f>'pivot sheet'!$C$48:$C$51</c:f>
              <c:numCache>
                <c:formatCode>#,##0</c:formatCode>
                <c:ptCount val="3"/>
                <c:pt idx="0">
                  <c:v>132</c:v>
                </c:pt>
                <c:pt idx="1">
                  <c:v>63</c:v>
                </c:pt>
                <c:pt idx="2">
                  <c:v>206</c:v>
                </c:pt>
              </c:numCache>
            </c:numRef>
          </c:val>
          <c:extLst>
            <c:ext xmlns:c16="http://schemas.microsoft.com/office/drawing/2014/chart" uri="{C3380CC4-5D6E-409C-BE32-E72D297353CC}">
              <c16:uniqueId val="{00000001-4950-4082-9EB5-043E01F47885}"/>
            </c:ext>
          </c:extLst>
        </c:ser>
        <c:dLbls>
          <c:showLegendKey val="0"/>
          <c:showVal val="0"/>
          <c:showCatName val="0"/>
          <c:showSerName val="0"/>
          <c:showPercent val="0"/>
          <c:showBubbleSize val="0"/>
        </c:dLbls>
        <c:gapWidth val="24"/>
        <c:overlap val="100"/>
        <c:axId val="2055914175"/>
        <c:axId val="564508815"/>
      </c:barChart>
      <c:catAx>
        <c:axId val="2055914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564508815"/>
        <c:crosses val="autoZero"/>
        <c:auto val="1"/>
        <c:lblAlgn val="ctr"/>
        <c:lblOffset val="100"/>
        <c:noMultiLvlLbl val="0"/>
      </c:catAx>
      <c:valAx>
        <c:axId val="564508815"/>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055914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sheet!rep satisfaction</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tx2"/>
                </a:solidFill>
                <a:latin typeface="Arial Black" panose="020B0A04020102020204" pitchFamily="34" charset="0"/>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sheet'!$B$56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sheet'!$A$57:$A$61</c:f>
              <c:strCache>
                <c:ptCount val="4"/>
                <c:pt idx="0">
                  <c:v>2</c:v>
                </c:pt>
                <c:pt idx="1">
                  <c:v>3</c:v>
                </c:pt>
                <c:pt idx="2">
                  <c:v>4</c:v>
                </c:pt>
                <c:pt idx="3">
                  <c:v>5</c:v>
                </c:pt>
              </c:strCache>
            </c:strRef>
          </c:cat>
          <c:val>
            <c:numRef>
              <c:f>'pivot sheet'!$B$57:$B$61</c:f>
              <c:numCache>
                <c:formatCode>#,##0</c:formatCode>
                <c:ptCount val="4"/>
                <c:pt idx="0">
                  <c:v>10</c:v>
                </c:pt>
                <c:pt idx="1">
                  <c:v>44</c:v>
                </c:pt>
                <c:pt idx="2">
                  <c:v>95</c:v>
                </c:pt>
                <c:pt idx="3">
                  <c:v>51</c:v>
                </c:pt>
              </c:numCache>
            </c:numRef>
          </c:val>
          <c:extLst>
            <c:ext xmlns:c16="http://schemas.microsoft.com/office/drawing/2014/chart" uri="{C3380CC4-5D6E-409C-BE32-E72D297353CC}">
              <c16:uniqueId val="{00000000-3295-498B-8662-A07F4F8EB8A2}"/>
            </c:ext>
          </c:extLst>
        </c:ser>
        <c:dLbls>
          <c:dLblPos val="outEnd"/>
          <c:showLegendKey val="0"/>
          <c:showVal val="1"/>
          <c:showCatName val="0"/>
          <c:showSerName val="0"/>
          <c:showPercent val="0"/>
          <c:showBubbleSize val="0"/>
        </c:dLbls>
        <c:gapWidth val="39"/>
        <c:overlap val="-2"/>
        <c:axId val="570355743"/>
        <c:axId val="570358623"/>
      </c:barChart>
      <c:catAx>
        <c:axId val="570355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70358623"/>
        <c:crosses val="autoZero"/>
        <c:auto val="1"/>
        <c:lblAlgn val="ctr"/>
        <c:lblOffset val="100"/>
        <c:noMultiLvlLbl val="0"/>
      </c:catAx>
      <c:valAx>
        <c:axId val="570358623"/>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570355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24903</xdr:colOff>
      <xdr:row>6</xdr:row>
      <xdr:rowOff>39216</xdr:rowOff>
    </xdr:from>
    <xdr:to>
      <xdr:col>4</xdr:col>
      <xdr:colOff>365409</xdr:colOff>
      <xdr:row>11</xdr:row>
      <xdr:rowOff>103636</xdr:rowOff>
    </xdr:to>
    <xdr:sp macro="" textlink="'pivot sheet'!A4">
      <xdr:nvSpPr>
        <xdr:cNvPr id="2" name="Rectangle 1">
          <a:extLst>
            <a:ext uri="{FF2B5EF4-FFF2-40B4-BE49-F238E27FC236}">
              <a16:creationId xmlns:a16="http://schemas.microsoft.com/office/drawing/2014/main" id="{0985D26B-2B56-9AC2-6953-27D5CF1B2A8E}"/>
            </a:ext>
          </a:extLst>
        </xdr:cNvPr>
        <xdr:cNvSpPr/>
      </xdr:nvSpPr>
      <xdr:spPr>
        <a:xfrm>
          <a:off x="537788" y="1138254"/>
          <a:ext cx="1659352" cy="980286"/>
        </a:xfrm>
        <a:prstGeom prst="rect">
          <a:avLst/>
        </a:prstGeom>
        <a:solidFill>
          <a:schemeClr val="accent3">
            <a:lumMod val="60000"/>
            <a:lumOff val="40000"/>
          </a:schemeClr>
        </a:solidFill>
        <a:effectLst>
          <a:outerShdw blurRad="177800" dist="76200" dir="2640000" sx="102000" sy="102000" algn="ctr" rotWithShape="0">
            <a:prstClr val="black">
              <a:alpha val="4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2472EE4-AAA1-422D-AEDB-CD1D5FD2F03D}" type="TxLink">
            <a:rPr lang="en-US" sz="2400" b="0" i="0" u="none" strike="noStrike"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mn-ea"/>
              <a:cs typeface="Arial"/>
            </a:rPr>
            <a:pPr marL="0" indent="0" algn="ctr"/>
            <a:t>1,000</a:t>
          </a:fld>
          <a:endParaRPr lang="en-US" sz="2400" b="0" i="0" u="none" strike="noStrike"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mn-ea"/>
            <a:cs typeface="Arial"/>
          </a:endParaRPr>
        </a:p>
      </xdr:txBody>
    </xdr:sp>
    <xdr:clientData/>
  </xdr:twoCellAnchor>
  <xdr:twoCellAnchor>
    <xdr:from>
      <xdr:col>2</xdr:col>
      <xdr:colOff>172149</xdr:colOff>
      <xdr:row>6</xdr:row>
      <xdr:rowOff>115848</xdr:rowOff>
    </xdr:from>
    <xdr:to>
      <xdr:col>4</xdr:col>
      <xdr:colOff>227365</xdr:colOff>
      <xdr:row>7</xdr:row>
      <xdr:rowOff>142916</xdr:rowOff>
    </xdr:to>
    <xdr:sp macro="" textlink="">
      <xdr:nvSpPr>
        <xdr:cNvPr id="4" name="Rectangle 3">
          <a:extLst>
            <a:ext uri="{FF2B5EF4-FFF2-40B4-BE49-F238E27FC236}">
              <a16:creationId xmlns:a16="http://schemas.microsoft.com/office/drawing/2014/main" id="{1F4778DA-AA53-3477-5F7D-E29ED99D74D5}"/>
            </a:ext>
          </a:extLst>
        </xdr:cNvPr>
        <xdr:cNvSpPr/>
      </xdr:nvSpPr>
      <xdr:spPr>
        <a:xfrm>
          <a:off x="682639" y="1161730"/>
          <a:ext cx="1375020" cy="201382"/>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1100" baseline="0">
              <a:latin typeface="Arial Black" panose="020B0A04020102020204" pitchFamily="34" charset="0"/>
            </a:rPr>
            <a:t> CALLS</a:t>
          </a:r>
          <a:endParaRPr lang="en-IN" sz="1100">
            <a:latin typeface="Arial Black" panose="020B0A04020102020204" pitchFamily="34" charset="0"/>
          </a:endParaRPr>
        </a:p>
      </xdr:txBody>
    </xdr:sp>
    <xdr:clientData/>
  </xdr:twoCellAnchor>
  <xdr:twoCellAnchor editAs="oneCell">
    <xdr:from>
      <xdr:col>2</xdr:col>
      <xdr:colOff>208961</xdr:colOff>
      <xdr:row>6</xdr:row>
      <xdr:rowOff>106645</xdr:rowOff>
    </xdr:from>
    <xdr:to>
      <xdr:col>2</xdr:col>
      <xdr:colOff>438931</xdr:colOff>
      <xdr:row>7</xdr:row>
      <xdr:rowOff>152118</xdr:rowOff>
    </xdr:to>
    <xdr:pic>
      <xdr:nvPicPr>
        <xdr:cNvPr id="5" name="Graphic 4" descr="Receiver with solid fill">
          <a:extLst>
            <a:ext uri="{FF2B5EF4-FFF2-40B4-BE49-F238E27FC236}">
              <a16:creationId xmlns:a16="http://schemas.microsoft.com/office/drawing/2014/main" id="{51A5D663-2429-4229-A671-BF9872CAD6A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19451" y="1152527"/>
          <a:ext cx="229970" cy="219787"/>
        </a:xfrm>
        <a:prstGeom prst="rect">
          <a:avLst/>
        </a:prstGeom>
      </xdr:spPr>
    </xdr:pic>
    <xdr:clientData/>
  </xdr:twoCellAnchor>
  <xdr:twoCellAnchor>
    <xdr:from>
      <xdr:col>2</xdr:col>
      <xdr:colOff>319395</xdr:colOff>
      <xdr:row>10</xdr:row>
      <xdr:rowOff>42225</xdr:rowOff>
    </xdr:from>
    <xdr:to>
      <xdr:col>4</xdr:col>
      <xdr:colOff>126134</xdr:colOff>
      <xdr:row>11</xdr:row>
      <xdr:rowOff>60630</xdr:rowOff>
    </xdr:to>
    <xdr:sp macro="" textlink="'pivot sheet'!A9">
      <xdr:nvSpPr>
        <xdr:cNvPr id="6" name="TextBox 5">
          <a:extLst>
            <a:ext uri="{FF2B5EF4-FFF2-40B4-BE49-F238E27FC236}">
              <a16:creationId xmlns:a16="http://schemas.microsoft.com/office/drawing/2014/main" id="{4F30804C-98AA-510D-1264-2AAD3D044646}"/>
            </a:ext>
          </a:extLst>
        </xdr:cNvPr>
        <xdr:cNvSpPr txBox="1"/>
      </xdr:nvSpPr>
      <xdr:spPr>
        <a:xfrm>
          <a:off x="829885" y="1785362"/>
          <a:ext cx="1126543" cy="19271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2F0784-6856-45DE-8625-8A5AAEDFFFF3}" type="TxLink">
            <a:rPr lang="en-US" sz="1400" b="0" i="0" u="none" strike="noStrike">
              <a:solidFill>
                <a:srgbClr val="000000"/>
              </a:solidFill>
              <a:latin typeface="Arial Black" panose="020B0A04020102020204" pitchFamily="34" charset="0"/>
              <a:cs typeface="Arial"/>
            </a:rPr>
            <a:pPr algn="ctr"/>
            <a:t>200</a:t>
          </a:fld>
          <a:endParaRPr lang="en-IN" sz="1400">
            <a:latin typeface="Arial Black" panose="020B0A04020102020204" pitchFamily="34" charset="0"/>
          </a:endParaRPr>
        </a:p>
      </xdr:txBody>
    </xdr:sp>
    <xdr:clientData/>
  </xdr:twoCellAnchor>
  <xdr:twoCellAnchor>
    <xdr:from>
      <xdr:col>2</xdr:col>
      <xdr:colOff>43308</xdr:colOff>
      <xdr:row>13</xdr:row>
      <xdr:rowOff>79037</xdr:rowOff>
    </xdr:from>
    <xdr:to>
      <xdr:col>4</xdr:col>
      <xdr:colOff>383814</xdr:colOff>
      <xdr:row>18</xdr:row>
      <xdr:rowOff>142916</xdr:rowOff>
    </xdr:to>
    <xdr:sp macro="" textlink="'pivot sheet'!B4">
      <xdr:nvSpPr>
        <xdr:cNvPr id="8" name="Rectangle 7">
          <a:extLst>
            <a:ext uri="{FF2B5EF4-FFF2-40B4-BE49-F238E27FC236}">
              <a16:creationId xmlns:a16="http://schemas.microsoft.com/office/drawing/2014/main" id="{1D528C6E-5B32-4B0A-BF73-2CE31B8D81B3}"/>
            </a:ext>
          </a:extLst>
        </xdr:cNvPr>
        <xdr:cNvSpPr/>
      </xdr:nvSpPr>
      <xdr:spPr>
        <a:xfrm>
          <a:off x="553798" y="2345115"/>
          <a:ext cx="1660310" cy="935448"/>
        </a:xfrm>
        <a:prstGeom prst="rect">
          <a:avLst/>
        </a:prstGeom>
        <a:solidFill>
          <a:schemeClr val="accent3">
            <a:lumMod val="60000"/>
            <a:lumOff val="40000"/>
          </a:schemeClr>
        </a:solidFill>
        <a:effectLst>
          <a:outerShdw blurRad="177800" dist="76200" dir="2640000" sx="102000" sy="102000" algn="ctr" rotWithShape="0">
            <a:prstClr val="black">
              <a:alpha val="4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EEF1132-8D69-4EB6-879B-551BD6E8F581}" type="TxLink">
            <a:rPr lang="en-US" sz="2400" b="0" i="0" u="none" strike="noStrike"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mn-ea"/>
              <a:cs typeface="Arial"/>
            </a:rPr>
            <a:pPr marL="0" indent="0" algn="ctr"/>
            <a:t>₹ 96,623</a:t>
          </a:fld>
          <a:endParaRPr lang="en-US" sz="2400" b="0" i="0" u="none" strike="noStrike"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mn-ea"/>
            <a:cs typeface="Arial"/>
          </a:endParaRPr>
        </a:p>
      </xdr:txBody>
    </xdr:sp>
    <xdr:clientData/>
  </xdr:twoCellAnchor>
  <xdr:twoCellAnchor>
    <xdr:from>
      <xdr:col>2</xdr:col>
      <xdr:colOff>190554</xdr:colOff>
      <xdr:row>13</xdr:row>
      <xdr:rowOff>142915</xdr:rowOff>
    </xdr:from>
    <xdr:to>
      <xdr:col>4</xdr:col>
      <xdr:colOff>245770</xdr:colOff>
      <xdr:row>14</xdr:row>
      <xdr:rowOff>170524</xdr:rowOff>
    </xdr:to>
    <xdr:sp macro="" textlink="">
      <xdr:nvSpPr>
        <xdr:cNvPr id="9" name="Rectangle 8">
          <a:extLst>
            <a:ext uri="{FF2B5EF4-FFF2-40B4-BE49-F238E27FC236}">
              <a16:creationId xmlns:a16="http://schemas.microsoft.com/office/drawing/2014/main" id="{0917E1ED-9BE2-4B0B-AF00-195295C626FB}"/>
            </a:ext>
          </a:extLst>
        </xdr:cNvPr>
        <xdr:cNvSpPr/>
      </xdr:nvSpPr>
      <xdr:spPr>
        <a:xfrm>
          <a:off x="701044" y="2408993"/>
          <a:ext cx="1375020" cy="201923"/>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1100" baseline="0">
              <a:latin typeface="Arial Black" panose="020B0A04020102020204" pitchFamily="34" charset="0"/>
            </a:rPr>
            <a:t>Amount</a:t>
          </a:r>
        </a:p>
      </xdr:txBody>
    </xdr:sp>
    <xdr:clientData/>
  </xdr:twoCellAnchor>
  <xdr:twoCellAnchor>
    <xdr:from>
      <xdr:col>2</xdr:col>
      <xdr:colOff>337800</xdr:colOff>
      <xdr:row>17</xdr:row>
      <xdr:rowOff>69833</xdr:rowOff>
    </xdr:from>
    <xdr:to>
      <xdr:col>4</xdr:col>
      <xdr:colOff>144539</xdr:colOff>
      <xdr:row>18</xdr:row>
      <xdr:rowOff>88239</xdr:rowOff>
    </xdr:to>
    <xdr:sp macro="" textlink="'pivot sheet'!B9">
      <xdr:nvSpPr>
        <xdr:cNvPr id="11" name="TextBox 10">
          <a:extLst>
            <a:ext uri="{FF2B5EF4-FFF2-40B4-BE49-F238E27FC236}">
              <a16:creationId xmlns:a16="http://schemas.microsoft.com/office/drawing/2014/main" id="{A050CF40-A555-4B07-92B2-67AA0E449062}"/>
            </a:ext>
          </a:extLst>
        </xdr:cNvPr>
        <xdr:cNvSpPr txBox="1"/>
      </xdr:nvSpPr>
      <xdr:spPr>
        <a:xfrm>
          <a:off x="848290" y="3033166"/>
          <a:ext cx="1126543" cy="1927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5346BF8-0283-493C-81D5-DD48B945BBD9}" type="TxLink">
            <a:rPr lang="en-US" sz="1400" b="0" i="0" u="none" strike="noStrike">
              <a:solidFill>
                <a:srgbClr val="000000"/>
              </a:solidFill>
              <a:latin typeface="Arial Black" panose="020B0A04020102020204" pitchFamily="34" charset="0"/>
              <a:cs typeface="Arial"/>
            </a:rPr>
            <a:pPr algn="ctr"/>
            <a:t>₹ 20,104</a:t>
          </a:fld>
          <a:endParaRPr lang="en-IN" sz="1800">
            <a:latin typeface="Arial Black" panose="020B0A04020102020204" pitchFamily="34" charset="0"/>
          </a:endParaRPr>
        </a:p>
      </xdr:txBody>
    </xdr:sp>
    <xdr:clientData/>
  </xdr:twoCellAnchor>
  <xdr:twoCellAnchor>
    <xdr:from>
      <xdr:col>2</xdr:col>
      <xdr:colOff>52511</xdr:colOff>
      <xdr:row>20</xdr:row>
      <xdr:rowOff>161322</xdr:rowOff>
    </xdr:from>
    <xdr:to>
      <xdr:col>4</xdr:col>
      <xdr:colOff>393017</xdr:colOff>
      <xdr:row>26</xdr:row>
      <xdr:rowOff>51429</xdr:rowOff>
    </xdr:to>
    <xdr:sp macro="" textlink="'pivot sheet'!C4">
      <xdr:nvSpPr>
        <xdr:cNvPr id="16" name="Rectangle 15">
          <a:extLst>
            <a:ext uri="{FF2B5EF4-FFF2-40B4-BE49-F238E27FC236}">
              <a16:creationId xmlns:a16="http://schemas.microsoft.com/office/drawing/2014/main" id="{7F7F8F11-3448-4DC8-B2E6-9F5D107401ED}"/>
            </a:ext>
          </a:extLst>
        </xdr:cNvPr>
        <xdr:cNvSpPr/>
      </xdr:nvSpPr>
      <xdr:spPr>
        <a:xfrm>
          <a:off x="563001" y="3647597"/>
          <a:ext cx="1660310" cy="935989"/>
        </a:xfrm>
        <a:prstGeom prst="rect">
          <a:avLst/>
        </a:prstGeom>
        <a:solidFill>
          <a:schemeClr val="accent3">
            <a:lumMod val="60000"/>
            <a:lumOff val="40000"/>
          </a:schemeClr>
        </a:solidFill>
        <a:effectLst>
          <a:outerShdw blurRad="177800" dist="76200" dir="2640000" sx="102000" sy="102000" algn="ctr" rotWithShape="0">
            <a:prstClr val="black">
              <a:alpha val="4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63BE3AF-0F8A-45AE-B0CD-9C7CCC0772BA}" type="TxLink">
            <a:rPr lang="en-US" sz="2400" b="0" i="0" u="none" strike="noStrike"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mn-ea"/>
              <a:cs typeface="Arial"/>
            </a:rPr>
            <a:pPr marL="0" indent="0" algn="ctr"/>
            <a:t>89,850</a:t>
          </a:fld>
          <a:endParaRPr lang="en-US" sz="2400" b="0" i="0" u="none" strike="noStrike"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mn-ea"/>
            <a:cs typeface="Arial"/>
          </a:endParaRPr>
        </a:p>
      </xdr:txBody>
    </xdr:sp>
    <xdr:clientData/>
  </xdr:twoCellAnchor>
  <xdr:twoCellAnchor>
    <xdr:from>
      <xdr:col>2</xdr:col>
      <xdr:colOff>199757</xdr:colOff>
      <xdr:row>21</xdr:row>
      <xdr:rowOff>51429</xdr:rowOff>
    </xdr:from>
    <xdr:to>
      <xdr:col>4</xdr:col>
      <xdr:colOff>254973</xdr:colOff>
      <xdr:row>22</xdr:row>
      <xdr:rowOff>79038</xdr:rowOff>
    </xdr:to>
    <xdr:sp macro="" textlink="">
      <xdr:nvSpPr>
        <xdr:cNvPr id="17" name="Rectangle 16">
          <a:extLst>
            <a:ext uri="{FF2B5EF4-FFF2-40B4-BE49-F238E27FC236}">
              <a16:creationId xmlns:a16="http://schemas.microsoft.com/office/drawing/2014/main" id="{BC5B72B3-AA40-4CAD-A520-C5F113C40F27}"/>
            </a:ext>
          </a:extLst>
        </xdr:cNvPr>
        <xdr:cNvSpPr/>
      </xdr:nvSpPr>
      <xdr:spPr>
        <a:xfrm>
          <a:off x="710247" y="3712017"/>
          <a:ext cx="1375020" cy="201923"/>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1100" baseline="0">
              <a:latin typeface="Arial Black" panose="020B0A04020102020204" pitchFamily="34" charset="0"/>
            </a:rPr>
            <a:t> Duration</a:t>
          </a:r>
          <a:endParaRPr lang="en-IN" sz="1100">
            <a:latin typeface="Arial Black" panose="020B0A04020102020204" pitchFamily="34" charset="0"/>
          </a:endParaRPr>
        </a:p>
      </xdr:txBody>
    </xdr:sp>
    <xdr:clientData/>
  </xdr:twoCellAnchor>
  <xdr:twoCellAnchor>
    <xdr:from>
      <xdr:col>2</xdr:col>
      <xdr:colOff>347003</xdr:colOff>
      <xdr:row>24</xdr:row>
      <xdr:rowOff>152119</xdr:rowOff>
    </xdr:from>
    <xdr:to>
      <xdr:col>4</xdr:col>
      <xdr:colOff>153742</xdr:colOff>
      <xdr:row>25</xdr:row>
      <xdr:rowOff>170525</xdr:rowOff>
    </xdr:to>
    <xdr:sp macro="" textlink="'pivot sheet'!C9">
      <xdr:nvSpPr>
        <xdr:cNvPr id="19" name="TextBox 18">
          <a:extLst>
            <a:ext uri="{FF2B5EF4-FFF2-40B4-BE49-F238E27FC236}">
              <a16:creationId xmlns:a16="http://schemas.microsoft.com/office/drawing/2014/main" id="{81BCCEA4-6DE7-400A-903A-BEB20D8AD3B5}"/>
            </a:ext>
          </a:extLst>
        </xdr:cNvPr>
        <xdr:cNvSpPr txBox="1"/>
      </xdr:nvSpPr>
      <xdr:spPr>
        <a:xfrm>
          <a:off x="857493" y="4335648"/>
          <a:ext cx="1126543" cy="1927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01C567-9CCE-41F0-967E-B373C4AAA11F}" type="TxLink">
            <a:rPr lang="en-US" sz="1400" b="0" i="0" u="none" strike="noStrike">
              <a:solidFill>
                <a:srgbClr val="000000"/>
              </a:solidFill>
              <a:latin typeface="Arial Black" panose="020B0A04020102020204" pitchFamily="34" charset="0"/>
              <a:cs typeface="Arial"/>
            </a:rPr>
            <a:pPr algn="ctr"/>
            <a:t>18,209</a:t>
          </a:fld>
          <a:endParaRPr lang="en-IN" sz="1800">
            <a:latin typeface="Arial Black" panose="020B0A04020102020204" pitchFamily="34" charset="0"/>
          </a:endParaRPr>
        </a:p>
      </xdr:txBody>
    </xdr:sp>
    <xdr:clientData/>
  </xdr:twoCellAnchor>
  <xdr:twoCellAnchor>
    <xdr:from>
      <xdr:col>2</xdr:col>
      <xdr:colOff>89322</xdr:colOff>
      <xdr:row>27</xdr:row>
      <xdr:rowOff>161321</xdr:rowOff>
    </xdr:from>
    <xdr:to>
      <xdr:col>4</xdr:col>
      <xdr:colOff>429828</xdr:colOff>
      <xdr:row>33</xdr:row>
      <xdr:rowOff>51429</xdr:rowOff>
    </xdr:to>
    <xdr:sp macro="" textlink="'pivot sheet'!D4">
      <xdr:nvSpPr>
        <xdr:cNvPr id="20" name="Rectangle 19">
          <a:extLst>
            <a:ext uri="{FF2B5EF4-FFF2-40B4-BE49-F238E27FC236}">
              <a16:creationId xmlns:a16="http://schemas.microsoft.com/office/drawing/2014/main" id="{570CD3E8-0AED-437C-AB64-18A03C20562C}"/>
            </a:ext>
          </a:extLst>
        </xdr:cNvPr>
        <xdr:cNvSpPr/>
      </xdr:nvSpPr>
      <xdr:spPr>
        <a:xfrm>
          <a:off x="599812" y="4867792"/>
          <a:ext cx="1660310" cy="935990"/>
        </a:xfrm>
        <a:prstGeom prst="rect">
          <a:avLst/>
        </a:prstGeom>
        <a:solidFill>
          <a:schemeClr val="accent3">
            <a:lumMod val="60000"/>
            <a:lumOff val="40000"/>
          </a:schemeClr>
        </a:solidFill>
        <a:effectLst>
          <a:outerShdw blurRad="177800" dist="76200" dir="2640000" sx="102000" sy="102000" algn="ctr" rotWithShape="0">
            <a:prstClr val="black">
              <a:alpha val="4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F158B8D-D235-4E5A-A4D3-BF1207946774}" type="TxLink">
            <a:rPr lang="en-US" sz="2400" b="0" i="0" u="none" strike="noStrike"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mn-ea"/>
              <a:cs typeface="Arial"/>
            </a:rPr>
            <a:pPr marL="0" indent="0" algn="ctr"/>
            <a:t>3.9</a:t>
          </a:fld>
          <a:endParaRPr lang="en-US" sz="2400" b="0" i="0" u="none" strike="noStrike"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mn-ea"/>
            <a:cs typeface="Arial"/>
          </a:endParaRPr>
        </a:p>
      </xdr:txBody>
    </xdr:sp>
    <xdr:clientData/>
  </xdr:twoCellAnchor>
  <xdr:twoCellAnchor>
    <xdr:from>
      <xdr:col>2</xdr:col>
      <xdr:colOff>227365</xdr:colOff>
      <xdr:row>28</xdr:row>
      <xdr:rowOff>42225</xdr:rowOff>
    </xdr:from>
    <xdr:to>
      <xdr:col>4</xdr:col>
      <xdr:colOff>282581</xdr:colOff>
      <xdr:row>29</xdr:row>
      <xdr:rowOff>69834</xdr:rowOff>
    </xdr:to>
    <xdr:sp macro="" textlink="">
      <xdr:nvSpPr>
        <xdr:cNvPr id="21" name="Rectangle 20">
          <a:extLst>
            <a:ext uri="{FF2B5EF4-FFF2-40B4-BE49-F238E27FC236}">
              <a16:creationId xmlns:a16="http://schemas.microsoft.com/office/drawing/2014/main" id="{879BA024-66AE-4354-8B47-9A7F1AC4E393}"/>
            </a:ext>
          </a:extLst>
        </xdr:cNvPr>
        <xdr:cNvSpPr/>
      </xdr:nvSpPr>
      <xdr:spPr>
        <a:xfrm>
          <a:off x="737855" y="4923009"/>
          <a:ext cx="1375020" cy="201923"/>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1100" baseline="0">
              <a:latin typeface="Arial Black" panose="020B0A04020102020204" pitchFamily="34" charset="0"/>
            </a:rPr>
            <a:t> Rating</a:t>
          </a:r>
          <a:endParaRPr lang="en-IN" sz="1100">
            <a:latin typeface="Arial Black" panose="020B0A04020102020204" pitchFamily="34" charset="0"/>
          </a:endParaRPr>
        </a:p>
      </xdr:txBody>
    </xdr:sp>
    <xdr:clientData/>
  </xdr:twoCellAnchor>
  <xdr:twoCellAnchor>
    <xdr:from>
      <xdr:col>2</xdr:col>
      <xdr:colOff>374611</xdr:colOff>
      <xdr:row>31</xdr:row>
      <xdr:rowOff>142916</xdr:rowOff>
    </xdr:from>
    <xdr:to>
      <xdr:col>4</xdr:col>
      <xdr:colOff>181350</xdr:colOff>
      <xdr:row>32</xdr:row>
      <xdr:rowOff>161322</xdr:rowOff>
    </xdr:to>
    <xdr:sp macro="" textlink="'pivot sheet'!D9">
      <xdr:nvSpPr>
        <xdr:cNvPr id="23" name="TextBox 22">
          <a:extLst>
            <a:ext uri="{FF2B5EF4-FFF2-40B4-BE49-F238E27FC236}">
              <a16:creationId xmlns:a16="http://schemas.microsoft.com/office/drawing/2014/main" id="{C7B55CDE-217A-44F9-BA0C-7D5CA42DC9EA}"/>
            </a:ext>
          </a:extLst>
        </xdr:cNvPr>
        <xdr:cNvSpPr txBox="1"/>
      </xdr:nvSpPr>
      <xdr:spPr>
        <a:xfrm>
          <a:off x="885101" y="5546641"/>
          <a:ext cx="1126543" cy="1927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68780D0-7E6B-412D-A1D0-E06B441CAE81}" type="TxLink">
            <a:rPr lang="en-US" sz="1400" b="0" i="0" u="none" strike="noStrike">
              <a:solidFill>
                <a:srgbClr val="000000"/>
              </a:solidFill>
              <a:latin typeface="Arial Black" panose="020B0A04020102020204" pitchFamily="34" charset="0"/>
              <a:ea typeface="+mn-ea"/>
              <a:cs typeface="Arial"/>
            </a:rPr>
            <a:pPr marL="0" indent="0" algn="ctr"/>
            <a:t>3.9</a:t>
          </a:fld>
          <a:endParaRPr lang="en-IN" sz="1400" b="0" i="0" u="none" strike="noStrike">
            <a:solidFill>
              <a:srgbClr val="000000"/>
            </a:solidFill>
            <a:latin typeface="Arial Black" panose="020B0A04020102020204" pitchFamily="34" charset="0"/>
            <a:ea typeface="+mn-ea"/>
            <a:cs typeface="Arial"/>
          </a:endParaRPr>
        </a:p>
      </xdr:txBody>
    </xdr:sp>
    <xdr:clientData/>
  </xdr:twoCellAnchor>
  <xdr:twoCellAnchor>
    <xdr:from>
      <xdr:col>2</xdr:col>
      <xdr:colOff>97062</xdr:colOff>
      <xdr:row>35</xdr:row>
      <xdr:rowOff>108947</xdr:rowOff>
    </xdr:from>
    <xdr:to>
      <xdr:col>4</xdr:col>
      <xdr:colOff>437568</xdr:colOff>
      <xdr:row>41</xdr:row>
      <xdr:rowOff>185</xdr:rowOff>
    </xdr:to>
    <xdr:sp macro="" textlink="'pivot sheet'!E4">
      <xdr:nvSpPr>
        <xdr:cNvPr id="24" name="Rectangle 23">
          <a:extLst>
            <a:ext uri="{FF2B5EF4-FFF2-40B4-BE49-F238E27FC236}">
              <a16:creationId xmlns:a16="http://schemas.microsoft.com/office/drawing/2014/main" id="{23FF2C91-E34F-465D-B78F-89F4F3C6CF5B}"/>
            </a:ext>
          </a:extLst>
        </xdr:cNvPr>
        <xdr:cNvSpPr/>
      </xdr:nvSpPr>
      <xdr:spPr>
        <a:xfrm>
          <a:off x="607552" y="6209927"/>
          <a:ext cx="1660310" cy="937121"/>
        </a:xfrm>
        <a:prstGeom prst="rect">
          <a:avLst/>
        </a:prstGeom>
        <a:solidFill>
          <a:schemeClr val="accent3">
            <a:lumMod val="60000"/>
            <a:lumOff val="40000"/>
          </a:schemeClr>
        </a:solidFill>
        <a:effectLst>
          <a:outerShdw blurRad="177800" dist="76200" dir="2640000" sx="102000" sy="102000" algn="ctr" rotWithShape="0">
            <a:prstClr val="black">
              <a:alpha val="4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6E4CE63-7D9F-4D98-8014-00ACB9681994}" type="TxLink">
            <a:rPr lang="en-US" sz="2400" b="0" i="0" u="none" strike="noStrike"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mn-ea"/>
              <a:cs typeface="Arial"/>
            </a:rPr>
            <a:pPr marL="0" indent="0" algn="ctr"/>
            <a:t>307</a:t>
          </a:fld>
          <a:endParaRPr lang="en-US" sz="2400" b="0" i="0" u="none" strike="noStrike"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mn-ea"/>
            <a:cs typeface="Arial"/>
          </a:endParaRPr>
        </a:p>
      </xdr:txBody>
    </xdr:sp>
    <xdr:clientData/>
  </xdr:twoCellAnchor>
  <xdr:twoCellAnchor>
    <xdr:from>
      <xdr:col>2</xdr:col>
      <xdr:colOff>244308</xdr:colOff>
      <xdr:row>36</xdr:row>
      <xdr:rowOff>185</xdr:rowOff>
    </xdr:from>
    <xdr:to>
      <xdr:col>4</xdr:col>
      <xdr:colOff>299524</xdr:colOff>
      <xdr:row>37</xdr:row>
      <xdr:rowOff>26120</xdr:rowOff>
    </xdr:to>
    <xdr:sp macro="" textlink="">
      <xdr:nvSpPr>
        <xdr:cNvPr id="25" name="Rectangle 24">
          <a:extLst>
            <a:ext uri="{FF2B5EF4-FFF2-40B4-BE49-F238E27FC236}">
              <a16:creationId xmlns:a16="http://schemas.microsoft.com/office/drawing/2014/main" id="{52F83AAF-BCBD-4E3A-9A38-60FA2B15F60C}"/>
            </a:ext>
          </a:extLst>
        </xdr:cNvPr>
        <xdr:cNvSpPr/>
      </xdr:nvSpPr>
      <xdr:spPr>
        <a:xfrm>
          <a:off x="754798" y="6275479"/>
          <a:ext cx="1375020" cy="200249"/>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1100" baseline="0">
              <a:latin typeface="Arial Black" panose="020B0A04020102020204" pitchFamily="34" charset="0"/>
            </a:rPr>
            <a:t>5 star </a:t>
          </a:r>
        </a:p>
      </xdr:txBody>
    </xdr:sp>
    <xdr:clientData/>
  </xdr:twoCellAnchor>
  <xdr:twoCellAnchor>
    <xdr:from>
      <xdr:col>2</xdr:col>
      <xdr:colOff>391554</xdr:colOff>
      <xdr:row>39</xdr:row>
      <xdr:rowOff>99743</xdr:rowOff>
    </xdr:from>
    <xdr:to>
      <xdr:col>4</xdr:col>
      <xdr:colOff>198293</xdr:colOff>
      <xdr:row>40</xdr:row>
      <xdr:rowOff>118149</xdr:rowOff>
    </xdr:to>
    <xdr:sp macro="" textlink="'pivot sheet'!E9">
      <xdr:nvSpPr>
        <xdr:cNvPr id="27" name="TextBox 26">
          <a:extLst>
            <a:ext uri="{FF2B5EF4-FFF2-40B4-BE49-F238E27FC236}">
              <a16:creationId xmlns:a16="http://schemas.microsoft.com/office/drawing/2014/main" id="{714BB766-31EB-45FE-8593-DE68CFCF2A7F}"/>
            </a:ext>
          </a:extLst>
        </xdr:cNvPr>
        <xdr:cNvSpPr txBox="1"/>
      </xdr:nvSpPr>
      <xdr:spPr>
        <a:xfrm>
          <a:off x="902044" y="6897978"/>
          <a:ext cx="1126543" cy="1927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ECFF7E2-0691-4F20-B2FC-CBCA4AC8B292}" type="TxLink">
            <a:rPr lang="en-US" sz="1400" b="0" i="0" u="none" strike="noStrike">
              <a:solidFill>
                <a:srgbClr val="000000"/>
              </a:solidFill>
              <a:latin typeface="Arial Black" panose="020B0A04020102020204" pitchFamily="34" charset="0"/>
              <a:ea typeface="+mn-ea"/>
              <a:cs typeface="Arial"/>
            </a:rPr>
            <a:pPr marL="0" indent="0" algn="ctr"/>
            <a:t>51</a:t>
          </a:fld>
          <a:endParaRPr lang="en-IN" sz="1400" b="0" i="0" u="none" strike="noStrike">
            <a:solidFill>
              <a:srgbClr val="000000"/>
            </a:solidFill>
            <a:latin typeface="Arial Black" panose="020B0A04020102020204" pitchFamily="34" charset="0"/>
            <a:ea typeface="+mn-ea"/>
            <a:cs typeface="Arial"/>
          </a:endParaRPr>
        </a:p>
      </xdr:txBody>
    </xdr:sp>
    <xdr:clientData/>
  </xdr:twoCellAnchor>
  <xdr:twoCellAnchor editAs="oneCell">
    <xdr:from>
      <xdr:col>2</xdr:col>
      <xdr:colOff>248327</xdr:colOff>
      <xdr:row>27</xdr:row>
      <xdr:rowOff>171627</xdr:rowOff>
    </xdr:from>
    <xdr:to>
      <xdr:col>3</xdr:col>
      <xdr:colOff>1288</xdr:colOff>
      <xdr:row>30</xdr:row>
      <xdr:rowOff>4965</xdr:rowOff>
    </xdr:to>
    <xdr:pic>
      <xdr:nvPicPr>
        <xdr:cNvPr id="29" name="Graphic 28" descr="Rating Star with solid fill">
          <a:extLst>
            <a:ext uri="{FF2B5EF4-FFF2-40B4-BE49-F238E27FC236}">
              <a16:creationId xmlns:a16="http://schemas.microsoft.com/office/drawing/2014/main" id="{1FBA5FA5-5677-45C7-844F-A3D2A3F1E9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763689" y="4911120"/>
          <a:ext cx="415570" cy="394715"/>
        </a:xfrm>
        <a:prstGeom prst="rect">
          <a:avLst/>
        </a:prstGeom>
      </xdr:spPr>
    </xdr:pic>
    <xdr:clientData/>
  </xdr:twoCellAnchor>
  <xdr:twoCellAnchor editAs="oneCell">
    <xdr:from>
      <xdr:col>2</xdr:col>
      <xdr:colOff>225429</xdr:colOff>
      <xdr:row>35</xdr:row>
      <xdr:rowOff>92138</xdr:rowOff>
    </xdr:from>
    <xdr:to>
      <xdr:col>2</xdr:col>
      <xdr:colOff>626481</xdr:colOff>
      <xdr:row>37</xdr:row>
      <xdr:rowOff>120826</xdr:rowOff>
    </xdr:to>
    <xdr:pic>
      <xdr:nvPicPr>
        <xdr:cNvPr id="30" name="Graphic 29" descr="Star-struck face outline with solid fill">
          <a:extLst>
            <a:ext uri="{FF2B5EF4-FFF2-40B4-BE49-F238E27FC236}">
              <a16:creationId xmlns:a16="http://schemas.microsoft.com/office/drawing/2014/main" id="{826F246E-0CFF-43C9-B264-FB43ADB1AAA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35919" y="6193118"/>
          <a:ext cx="401052" cy="377316"/>
        </a:xfrm>
        <a:prstGeom prst="rect">
          <a:avLst/>
        </a:prstGeom>
      </xdr:spPr>
    </xdr:pic>
    <xdr:clientData/>
  </xdr:twoCellAnchor>
  <xdr:twoCellAnchor editAs="oneCell">
    <xdr:from>
      <xdr:col>2</xdr:col>
      <xdr:colOff>192008</xdr:colOff>
      <xdr:row>13</xdr:row>
      <xdr:rowOff>124510</xdr:rowOff>
    </xdr:from>
    <xdr:to>
      <xdr:col>2</xdr:col>
      <xdr:colOff>448236</xdr:colOff>
      <xdr:row>15</xdr:row>
      <xdr:rowOff>12966</xdr:rowOff>
    </xdr:to>
    <xdr:pic>
      <xdr:nvPicPr>
        <xdr:cNvPr id="31" name="Graphic 30" descr="Shopping cart with solid fill">
          <a:extLst>
            <a:ext uri="{FF2B5EF4-FFF2-40B4-BE49-F238E27FC236}">
              <a16:creationId xmlns:a16="http://schemas.microsoft.com/office/drawing/2014/main" id="{56EA0C89-CFF1-4B50-9CC3-D9C1703446D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02498" y="2390588"/>
          <a:ext cx="256228" cy="237084"/>
        </a:xfrm>
        <a:prstGeom prst="rect">
          <a:avLst/>
        </a:prstGeom>
      </xdr:spPr>
    </xdr:pic>
    <xdr:clientData/>
  </xdr:twoCellAnchor>
  <xdr:twoCellAnchor editAs="oneCell">
    <xdr:from>
      <xdr:col>2</xdr:col>
      <xdr:colOff>203147</xdr:colOff>
      <xdr:row>21</xdr:row>
      <xdr:rowOff>17038</xdr:rowOff>
    </xdr:from>
    <xdr:to>
      <xdr:col>2</xdr:col>
      <xdr:colOff>470515</xdr:colOff>
      <xdr:row>22</xdr:row>
      <xdr:rowOff>105693</xdr:rowOff>
    </xdr:to>
    <xdr:pic>
      <xdr:nvPicPr>
        <xdr:cNvPr id="32" name="Graphic 31" descr="Call center with solid fill">
          <a:extLst>
            <a:ext uri="{FF2B5EF4-FFF2-40B4-BE49-F238E27FC236}">
              <a16:creationId xmlns:a16="http://schemas.microsoft.com/office/drawing/2014/main" id="{F40ABFDF-03A1-4511-AED2-9A35EC551C7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3637" y="3677626"/>
          <a:ext cx="267368" cy="262969"/>
        </a:xfrm>
        <a:prstGeom prst="rect">
          <a:avLst/>
        </a:prstGeom>
      </xdr:spPr>
    </xdr:pic>
    <xdr:clientData/>
  </xdr:twoCellAnchor>
  <xdr:twoCellAnchor>
    <xdr:from>
      <xdr:col>14</xdr:col>
      <xdr:colOff>253570</xdr:colOff>
      <xdr:row>5</xdr:row>
      <xdr:rowOff>9767</xdr:rowOff>
    </xdr:from>
    <xdr:to>
      <xdr:col>19</xdr:col>
      <xdr:colOff>358913</xdr:colOff>
      <xdr:row>21</xdr:row>
      <xdr:rowOff>173597</xdr:rowOff>
    </xdr:to>
    <xdr:graphicFrame macro="">
      <xdr:nvGraphicFramePr>
        <xdr:cNvPr id="36" name="Chart 35">
          <a:extLst>
            <a:ext uri="{FF2B5EF4-FFF2-40B4-BE49-F238E27FC236}">
              <a16:creationId xmlns:a16="http://schemas.microsoft.com/office/drawing/2014/main" id="{BE420F74-9326-460F-979F-22471A39AE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15</xdr:col>
      <xdr:colOff>65882</xdr:colOff>
      <xdr:row>23</xdr:row>
      <xdr:rowOff>134327</xdr:rowOff>
    </xdr:from>
    <xdr:to>
      <xdr:col>18</xdr:col>
      <xdr:colOff>165626</xdr:colOff>
      <xdr:row>41</xdr:row>
      <xdr:rowOff>55138</xdr:rowOff>
    </xdr:to>
    <mc:AlternateContent xmlns:mc="http://schemas.openxmlformats.org/markup-compatibility/2006" xmlns:a14="http://schemas.microsoft.com/office/drawing/2010/main">
      <mc:Choice Requires="a14">
        <xdr:graphicFrame macro="">
          <xdr:nvGraphicFramePr>
            <xdr:cNvPr id="33" name="Representative 1">
              <a:extLst>
                <a:ext uri="{FF2B5EF4-FFF2-40B4-BE49-F238E27FC236}">
                  <a16:creationId xmlns:a16="http://schemas.microsoft.com/office/drawing/2014/main" id="{06FE5152-579B-4611-B87F-4661F500F627}"/>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9176188" y="4307184"/>
              <a:ext cx="2082499" cy="32383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106973</xdr:colOff>
      <xdr:row>5</xdr:row>
      <xdr:rowOff>7559</xdr:rowOff>
    </xdr:from>
    <xdr:to>
      <xdr:col>14</xdr:col>
      <xdr:colOff>151190</xdr:colOff>
      <xdr:row>21</xdr:row>
      <xdr:rowOff>145376</xdr:rowOff>
    </xdr:to>
    <xdr:graphicFrame macro="">
      <xdr:nvGraphicFramePr>
        <xdr:cNvPr id="34" name="Chart 33">
          <a:extLst>
            <a:ext uri="{FF2B5EF4-FFF2-40B4-BE49-F238E27FC236}">
              <a16:creationId xmlns:a16="http://schemas.microsoft.com/office/drawing/2014/main" id="{28BDBCAB-B099-4935-A535-0BC5EBD3D8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443878</xdr:colOff>
      <xdr:row>25</xdr:row>
      <xdr:rowOff>0</xdr:rowOff>
    </xdr:from>
    <xdr:to>
      <xdr:col>14</xdr:col>
      <xdr:colOff>631575</xdr:colOff>
      <xdr:row>40</xdr:row>
      <xdr:rowOff>128494</xdr:rowOff>
    </xdr:to>
    <xdr:graphicFrame macro="">
      <xdr:nvGraphicFramePr>
        <xdr:cNvPr id="38" name="Chart 37">
          <a:extLst>
            <a:ext uri="{FF2B5EF4-FFF2-40B4-BE49-F238E27FC236}">
              <a16:creationId xmlns:a16="http://schemas.microsoft.com/office/drawing/2014/main" id="{9DB38B7C-03F0-405D-94C4-EC73DB1EC2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99608</xdr:colOff>
      <xdr:row>25</xdr:row>
      <xdr:rowOff>4979</xdr:rowOff>
    </xdr:from>
    <xdr:to>
      <xdr:col>10</xdr:col>
      <xdr:colOff>266141</xdr:colOff>
      <xdr:row>40</xdr:row>
      <xdr:rowOff>133473</xdr:rowOff>
    </xdr:to>
    <xdr:graphicFrame macro="">
      <xdr:nvGraphicFramePr>
        <xdr:cNvPr id="37" name="Chart 36">
          <a:extLst>
            <a:ext uri="{FF2B5EF4-FFF2-40B4-BE49-F238E27FC236}">
              <a16:creationId xmlns:a16="http://schemas.microsoft.com/office/drawing/2014/main" id="{6933C785-1DAA-410E-B973-AD5D2FE160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136961</xdr:colOff>
      <xdr:row>23</xdr:row>
      <xdr:rowOff>136960</xdr:rowOff>
    </xdr:from>
    <xdr:to>
      <xdr:col>15</xdr:col>
      <xdr:colOff>12451</xdr:colOff>
      <xdr:row>41</xdr:row>
      <xdr:rowOff>12450</xdr:rowOff>
    </xdr:to>
    <xdr:sp macro="" textlink="">
      <xdr:nvSpPr>
        <xdr:cNvPr id="39" name="Rectangle 38">
          <a:extLst>
            <a:ext uri="{FF2B5EF4-FFF2-40B4-BE49-F238E27FC236}">
              <a16:creationId xmlns:a16="http://schemas.microsoft.com/office/drawing/2014/main" id="{D67C2E6C-C6F9-9438-0961-7B38797D63FC}"/>
            </a:ext>
          </a:extLst>
        </xdr:cNvPr>
        <xdr:cNvSpPr/>
      </xdr:nvSpPr>
      <xdr:spPr>
        <a:xfrm>
          <a:off x="2627157" y="4146176"/>
          <a:ext cx="6474510" cy="3013137"/>
        </a:xfrm>
        <a:prstGeom prst="rect">
          <a:avLst/>
        </a:prstGeom>
        <a:noFill/>
        <a:effectLst>
          <a:outerShdw blurRad="50800" dist="38100" dir="5400000" algn="t"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136961</xdr:colOff>
      <xdr:row>24</xdr:row>
      <xdr:rowOff>12451</xdr:rowOff>
    </xdr:from>
    <xdr:to>
      <xdr:col>8</xdr:col>
      <xdr:colOff>448235</xdr:colOff>
      <xdr:row>25</xdr:row>
      <xdr:rowOff>74706</xdr:rowOff>
    </xdr:to>
    <xdr:sp macro="" textlink="">
      <xdr:nvSpPr>
        <xdr:cNvPr id="43" name="TextBox 42">
          <a:extLst>
            <a:ext uri="{FF2B5EF4-FFF2-40B4-BE49-F238E27FC236}">
              <a16:creationId xmlns:a16="http://schemas.microsoft.com/office/drawing/2014/main" id="{6E6500A7-1D27-4A69-7015-26C56487802F}"/>
            </a:ext>
          </a:extLst>
        </xdr:cNvPr>
        <xdr:cNvSpPr txBox="1"/>
      </xdr:nvSpPr>
      <xdr:spPr>
        <a:xfrm>
          <a:off x="3287059" y="4195980"/>
          <a:ext cx="1631078" cy="236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rPr>
            <a:t>Calls</a:t>
          </a:r>
        </a:p>
      </xdr:txBody>
    </xdr:sp>
    <xdr:clientData/>
  </xdr:twoCellAnchor>
  <xdr:twoCellAnchor>
    <xdr:from>
      <xdr:col>10</xdr:col>
      <xdr:colOff>510490</xdr:colOff>
      <xdr:row>24</xdr:row>
      <xdr:rowOff>0</xdr:rowOff>
    </xdr:from>
    <xdr:to>
      <xdr:col>13</xdr:col>
      <xdr:colOff>448235</xdr:colOff>
      <xdr:row>25</xdr:row>
      <xdr:rowOff>99608</xdr:rowOff>
    </xdr:to>
    <xdr:sp macro="" textlink="">
      <xdr:nvSpPr>
        <xdr:cNvPr id="44" name="TextBox 43">
          <a:extLst>
            <a:ext uri="{FF2B5EF4-FFF2-40B4-BE49-F238E27FC236}">
              <a16:creationId xmlns:a16="http://schemas.microsoft.com/office/drawing/2014/main" id="{78A77D78-BB21-5782-EE8E-ECA2707E129F}"/>
            </a:ext>
          </a:extLst>
        </xdr:cNvPr>
        <xdr:cNvSpPr txBox="1"/>
      </xdr:nvSpPr>
      <xdr:spPr>
        <a:xfrm>
          <a:off x="6300196" y="4183529"/>
          <a:ext cx="1917451" cy="273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latin typeface="Arial Black" panose="020B0A04020102020204" pitchFamily="34" charset="0"/>
            </a:rPr>
            <a:t>Amount</a:t>
          </a:r>
        </a:p>
      </xdr:txBody>
    </xdr:sp>
    <xdr:clientData/>
  </xdr:twoCellAnchor>
  <xdr:twoCellAnchor>
    <xdr:from>
      <xdr:col>19</xdr:col>
      <xdr:colOff>400325</xdr:colOff>
      <xdr:row>5</xdr:row>
      <xdr:rowOff>0</xdr:rowOff>
    </xdr:from>
    <xdr:to>
      <xdr:col>23</xdr:col>
      <xdr:colOff>193260</xdr:colOff>
      <xdr:row>21</xdr:row>
      <xdr:rowOff>173176</xdr:rowOff>
    </xdr:to>
    <xdr:graphicFrame macro="">
      <xdr:nvGraphicFramePr>
        <xdr:cNvPr id="45" name="Chart 44">
          <a:extLst>
            <a:ext uri="{FF2B5EF4-FFF2-40B4-BE49-F238E27FC236}">
              <a16:creationId xmlns:a16="http://schemas.microsoft.com/office/drawing/2014/main" id="{DED3B450-645F-44B8-AD60-C61B7C13CF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23</xdr:col>
      <xdr:colOff>249540</xdr:colOff>
      <xdr:row>5</xdr:row>
      <xdr:rowOff>10718</xdr:rowOff>
    </xdr:from>
    <xdr:to>
      <xdr:col>26</xdr:col>
      <xdr:colOff>427936</xdr:colOff>
      <xdr:row>22</xdr:row>
      <xdr:rowOff>5309</xdr:rowOff>
    </xdr:to>
    <xdr:graphicFrame macro="">
      <xdr:nvGraphicFramePr>
        <xdr:cNvPr id="46" name="Chart 45">
          <a:extLst>
            <a:ext uri="{FF2B5EF4-FFF2-40B4-BE49-F238E27FC236}">
              <a16:creationId xmlns:a16="http://schemas.microsoft.com/office/drawing/2014/main" id="{9483790F-EE5D-480E-90F6-A0AD17AA2F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22281</xdr:colOff>
      <xdr:row>0</xdr:row>
      <xdr:rowOff>33421</xdr:rowOff>
    </xdr:from>
    <xdr:to>
      <xdr:col>16</xdr:col>
      <xdr:colOff>349898</xdr:colOff>
      <xdr:row>4</xdr:row>
      <xdr:rowOff>133685</xdr:rowOff>
    </xdr:to>
    <xdr:sp macro="" textlink="">
      <xdr:nvSpPr>
        <xdr:cNvPr id="48" name="TextBox 47">
          <a:extLst>
            <a:ext uri="{FF2B5EF4-FFF2-40B4-BE49-F238E27FC236}">
              <a16:creationId xmlns:a16="http://schemas.microsoft.com/office/drawing/2014/main" id="{7B1533F4-90BF-5AEC-40A1-7EA6387A388D}"/>
            </a:ext>
          </a:extLst>
        </xdr:cNvPr>
        <xdr:cNvSpPr txBox="1"/>
      </xdr:nvSpPr>
      <xdr:spPr>
        <a:xfrm>
          <a:off x="540648" y="33421"/>
          <a:ext cx="9580474" cy="825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400" b="1">
              <a:solidFill>
                <a:schemeClr val="tx1">
                  <a:lumMod val="95000"/>
                  <a:lumOff val="5000"/>
                </a:schemeClr>
              </a:solidFill>
              <a:latin typeface="Times New Roman" panose="02020603050405020304" pitchFamily="18" charset="0"/>
              <a:cs typeface="Times New Roman" panose="02020603050405020304" pitchFamily="18" charset="0"/>
            </a:rPr>
            <a:t>Call</a:t>
          </a:r>
          <a:r>
            <a:rPr lang="en-IN" sz="4400" b="1" baseline="0">
              <a:solidFill>
                <a:schemeClr val="tx1">
                  <a:lumMod val="95000"/>
                  <a:lumOff val="5000"/>
                </a:schemeClr>
              </a:solidFill>
              <a:latin typeface="Times New Roman" panose="02020603050405020304" pitchFamily="18" charset="0"/>
              <a:cs typeface="Times New Roman" panose="02020603050405020304" pitchFamily="18" charset="0"/>
            </a:rPr>
            <a:t> Center Report 2023</a:t>
          </a:r>
          <a:endParaRPr lang="en-IN" sz="4400" b="1">
            <a:solidFill>
              <a:schemeClr val="tx1">
                <a:lumMod val="95000"/>
                <a:lumOff val="5000"/>
              </a:schemeClr>
            </a:solidFill>
            <a:latin typeface="Times New Roman" panose="02020603050405020304" pitchFamily="18" charset="0"/>
            <a:cs typeface="Times New Roman" panose="02020603050405020304" pitchFamily="18"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va sai" refreshedDate="46052.778924074075" backgroundQuery="1" createdVersion="8" refreshedVersion="8" minRefreshableVersion="3" recordCount="0" supportSubquery="1" supportAdvancedDrill="1" xr:uid="{F497A0EC-3E65-4466-96D6-171C8C49A065}">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calls]" caption="5*calls" numFmtId="0" hierarchy="21"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va sai" refreshedDate="46052.821143865738" backgroundQuery="1" createdVersion="8" refreshedVersion="8" minRefreshableVersion="3" recordCount="0" supportSubquery="1" supportAdvancedDrill="1" xr:uid="{3DD32E19-E7D6-4080-851C-0D4A881D3433}">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va sai" refreshedDate="46052.857696064813" backgroundQuery="1" createdVersion="8" refreshedVersion="8" minRefreshableVersion="3" recordCount="0" supportSubquery="1" supportAdvancedDrill="1" xr:uid="{9CB6E7A0-1AF8-41B1-904A-863247CAB664}">
  <cacheSource type="external" connectionId="1"/>
  <cacheFields count="3">
    <cacheField name="[customers].[Gedner].[Gedner]" caption="Gedner" numFmtId="0" hierarchy="13" level="1">
      <sharedItems count="2">
        <s v="Female"/>
        <s v="Male"/>
      </sharedItems>
    </cacheField>
    <cacheField name="[customers].[City].[City]" caption="City" numFmtId="0" hierarchy="15" level="1">
      <sharedItems count="3">
        <s v="Cincinnati"/>
        <s v="Cleveland"/>
        <s v="Columbus"/>
      </sharedItems>
    </cacheField>
    <cacheField name="[Measures].[call count]" caption="call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0"/>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va sai" refreshedDate="46052.892858680556" backgroundQuery="1" createdVersion="8" refreshedVersion="8" minRefreshableVersion="3" recordCount="0" supportSubquery="1" supportAdvancedDrill="1" xr:uid="{8F5C02A6-9193-48FF-BC3F-96263585EB29}">
  <cacheSource type="external" connectionId="1"/>
  <cacheFields count="4">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alls].[Representative].[Representative]" caption="Representative" numFmtId="0" hierarchy="3" level="1">
      <sharedItems count="5">
        <s v="R01"/>
        <s v="R02"/>
        <s v="R03"/>
        <s v="R04"/>
        <s v="R05"/>
      </sharedItems>
    </cacheField>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va sai" refreshedDate="46052.907990509259" backgroundQuery="1" createdVersion="8" refreshedVersion="8" minRefreshableVersion="3" recordCount="0" supportSubquery="1" supportAdvancedDrill="1" xr:uid="{EB328631-63E8-4897-AC35-4454E2F2A572}">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calls]" caption="5*calls" numFmtId="0" hierarchy="21"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va sai" refreshedDate="46052.907991203705" backgroundQuery="1" createdVersion="8" refreshedVersion="8" minRefreshableVersion="3" recordCount="0" supportSubquery="1" supportAdvancedDrill="1" xr:uid="{3964AEA2-F662-4143-8B54-E19186B08A06}">
  <cacheSource type="external" connectionId="1"/>
  <cacheFields count="5">
    <cacheField name="[Measures].[call count]" caption="call count" numFmtId="0" hierarchy="17" level="32767"/>
    <cacheField name="[calls].[Date of Call].[Date of Call]" caption="Date of Call" numFmtId="0" hierarchy="4" level="1">
      <sharedItems containsSemiMixedTypes="0" containsNonDate="0" containsDate="1" containsString="0" minDate="2023-01-02T00:00:00" maxDate="2024-01-01T00:00:00" count="14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d v="2023-02-02T00:00:00"/>
        <d v="2023-02-04T00:00:00"/>
        <d v="2023-02-05T00:00:00"/>
        <d v="2023-02-10T00:00:00"/>
        <d v="2023-02-12T00:00:00"/>
        <d v="2023-02-13T00:00:00"/>
        <d v="2023-02-15T00:00:00"/>
        <d v="2023-02-19T00:00:00"/>
        <d v="2023-02-20T00:00:00"/>
        <d v="2023-02-22T00:00:00"/>
        <d v="2023-02-26T00:00:00"/>
        <d v="2023-02-27T00:00:00"/>
        <d v="2023-02-28T00:00:00"/>
        <d v="2023-03-01T00:00:00"/>
        <d v="2023-03-02T00:00:00"/>
        <d v="2023-03-03T00:00:00"/>
        <d v="2023-03-04T00:00:00"/>
        <d v="2023-03-05T00:00:00"/>
        <d v="2023-03-06T00:00:00"/>
        <d v="2023-03-07T00:00:00"/>
        <d v="2023-03-09T00:00:00"/>
        <d v="2023-03-11T00:00:00"/>
        <d v="2023-03-13T00:00:00"/>
        <d v="2023-03-14T00:00:00"/>
        <d v="2023-03-17T00:00:00"/>
        <d v="2023-03-18T00:00:00"/>
        <d v="2023-03-19T00:00:00"/>
        <d v="2023-03-20T00:00:00"/>
        <d v="2023-03-21T00:00:00"/>
        <d v="2023-03-22T00:00:00"/>
        <d v="2023-03-25T00:00:00"/>
        <d v="2023-03-27T00:00:00"/>
        <d v="2023-03-28T00:00:00"/>
        <d v="2023-03-31T00:00:00"/>
        <d v="2023-04-01T00:00:00"/>
        <d v="2023-04-04T00:00:00"/>
        <d v="2023-04-05T00:00:00"/>
        <d v="2023-04-07T00:00:00"/>
        <d v="2023-04-15T00:00:00"/>
        <d v="2023-04-16T00:00:00"/>
        <d v="2023-04-19T00:00:00"/>
        <d v="2023-04-20T00:00:00"/>
        <d v="2023-04-21T00:00:00"/>
        <d v="2023-04-22T00:00:00"/>
        <d v="2023-04-23T00:00:00"/>
        <d v="2023-04-24T00:00:00"/>
        <d v="2023-04-26T00:00:00"/>
        <d v="2023-04-29T00:00:00"/>
        <d v="2023-05-01T00:00:00"/>
        <d v="2023-05-04T00:00:00"/>
        <d v="2023-05-08T00:00:00"/>
        <d v="2023-05-11T00:00:00"/>
        <d v="2023-05-12T00:00:00"/>
        <d v="2023-05-14T00:00:00"/>
        <d v="2023-05-15T00:00:00"/>
        <d v="2023-05-17T00:00:00"/>
        <d v="2023-05-21T00:00:00"/>
        <d v="2023-05-22T00:00:00"/>
        <d v="2023-05-26T00:00:00"/>
        <d v="2023-05-28T00:00:00"/>
        <d v="2023-05-30T00:00:00"/>
        <d v="2023-06-03T00:00:00"/>
        <d v="2023-06-05T00:00:00"/>
        <d v="2023-06-08T00:00:00"/>
        <d v="2023-06-10T00:00:00"/>
        <d v="2023-06-11T00:00:00"/>
        <d v="2023-06-14T00:00:00"/>
        <d v="2023-06-15T00:00:00"/>
        <d v="2023-06-16T00:00:00"/>
        <d v="2023-06-20T00:00:00"/>
        <d v="2023-06-21T00:00:00"/>
        <d v="2023-06-23T00:00:00"/>
        <d v="2023-06-25T00:00:00"/>
        <d v="2023-06-26T00:00:00"/>
        <d v="2023-07-01T00:00:00"/>
        <d v="2023-07-06T00:00:00"/>
        <d v="2023-07-08T00:00:00"/>
        <d v="2023-07-10T00:00:00"/>
        <d v="2023-07-13T00:00:00"/>
        <d v="2023-07-14T00:00:00"/>
        <d v="2023-07-16T00:00:00"/>
        <d v="2023-07-17T00:00:00"/>
        <d v="2023-07-20T00:00:00"/>
        <d v="2023-07-21T00:00:00"/>
        <d v="2023-07-22T00:00:00"/>
        <d v="2023-07-31T00:00:00"/>
        <d v="2023-08-06T00:00:00"/>
        <d v="2023-08-19T00:00:00"/>
        <d v="2023-08-20T00:00:00"/>
        <d v="2023-08-24T00:00:00"/>
        <d v="2023-08-26T00:00:00"/>
        <d v="2023-09-04T00:00:00"/>
        <d v="2023-09-08T00:00:00"/>
        <d v="2023-09-09T00:00:00"/>
        <d v="2023-09-14T00:00:00"/>
        <d v="2023-09-22T00:00:00"/>
        <d v="2023-09-23T00:00:00"/>
        <d v="2023-09-25T00:00:00"/>
        <d v="2023-09-29T00:00:00"/>
        <d v="2023-09-30T00:00:00"/>
        <d v="2023-10-01T00:00:00"/>
        <d v="2023-10-02T00:00:00"/>
        <d v="2023-10-05T00:00:00"/>
        <d v="2023-10-06T00:00:00"/>
        <d v="2023-10-08T00:00:00"/>
        <d v="2023-10-11T00:00:00"/>
        <d v="2023-10-14T00:00:00"/>
        <d v="2023-10-15T00:00:00"/>
        <d v="2023-10-18T00:00:00"/>
        <d v="2023-10-19T00:00:00"/>
        <d v="2023-10-20T00:00:00"/>
        <d v="2023-10-21T00:00:00"/>
        <d v="2023-10-26T00:00:00"/>
        <d v="2023-10-27T00:00:00"/>
        <d v="2023-10-28T00:00:00"/>
        <d v="2023-11-04T00:00:00"/>
        <d v="2023-11-08T00:00:00"/>
        <d v="2023-11-13T00:00:00"/>
        <d v="2023-11-18T00:00:00"/>
        <d v="2023-11-19T00:00:00"/>
        <d v="2023-11-23T00:00:00"/>
        <d v="2023-11-26T00:00:00"/>
        <d v="2023-11-28T00:00:00"/>
        <d v="2023-11-30T00:00:00"/>
        <d v="2023-12-09T00:00:00"/>
        <d v="2023-12-17T00:00:00"/>
        <d v="2023-12-20T00:00:00"/>
        <d v="2023-12-25T00:00:00"/>
        <d v="2023-12-29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calls].[Representative].[Representative]" caption="Representative" numFmtId="0" hierarchy="3" level="1">
      <sharedItems containsSemiMixedTypes="0" containsNonDate="0" containsString="0"/>
    </cacheField>
    <cacheField name="Unsupported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va sai" refreshedDate="46052.907991550928" backgroundQuery="1" createdVersion="8" refreshedVersion="8" minRefreshableVersion="3" recordCount="0" supportSubquery="1" supportAdvancedDrill="1" xr:uid="{B1E76C96-C947-4D3D-8A11-655B4BCE7216}">
  <cacheSource type="external" connectionId="1"/>
  <cacheFields count="3">
    <cacheField name="[Measures].[call count]" caption="call count" numFmtId="0" hierarchy="17" level="32767"/>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2"/>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va sai" refreshedDate="46052.907991898152" backgroundQuery="1" createdVersion="8" refreshedVersion="8" minRefreshableVersion="3" recordCount="0" supportSubquery="1" supportAdvancedDrill="1" xr:uid="{9A7055A5-41B7-4071-A937-2C21BD3AAA55}">
  <cacheSource type="external" connectionId="1"/>
  <cacheFields count="1">
    <cacheField name="[calls].[Representative].[Representative]" caption="Representative" numFmtId="0" hierarchy="3" level="1">
      <sharedItems count="1">
        <s v="R05"/>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va sai" refreshedDate="46052.907992361113" backgroundQuery="1" createdVersion="8" refreshedVersion="8" minRefreshableVersion="3" recordCount="0" supportSubquery="1" supportAdvancedDrill="1" xr:uid="{451F4687-508A-4A9F-B04D-771BA02A29C2}">
  <cacheSource type="external" connectionId="1"/>
  <cacheFields count="3">
    <cacheField name="[calls].[Rating rounded].[Rating rounded]" caption="Rating rounded" numFmtId="0" hierarchy="10" level="1">
      <sharedItems containsSemiMixedTypes="0" containsString="0" containsNumber="1" containsInteger="1" minValue="2" maxValue="5" count="4">
        <n v="2"/>
        <n v="3"/>
        <n v="4"/>
        <n v="5"/>
      </sharedItems>
      <extLst>
        <ext xmlns:x15="http://schemas.microsoft.com/office/spreadsheetml/2010/11/main" uri="{4F2E5C28-24EA-4eb8-9CBF-B6C8F9C3D259}">
          <x15:cachedUniqueNames>
            <x15:cachedUniqueName index="0" name="[calls].[Rating rounded].&amp;[2]"/>
            <x15:cachedUniqueName index="1" name="[calls].[Rating rounded].&amp;[3]"/>
            <x15:cachedUniqueName index="2" name="[calls].[Rating rounded].&amp;[4]"/>
            <x15:cachedUniqueName index="3" name="[calls].[Rating rounded].&amp;[5]"/>
          </x15:cachedUniqueNames>
        </ext>
      </extLst>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0"/>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va sai" refreshedDate="46052.77892488426" backgroundQuery="1" createdVersion="3" refreshedVersion="8" minRefreshableVersion="3" recordCount="0" supportSubquery="1" supportAdvancedDrill="1" xr:uid="{1ABAB9AB-03B1-4683-913E-0BB813A0541E}">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95441107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4464BA-6C89-449B-A8D8-BC9EB6AD558A}" name="reps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3:C39"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450B58-B456-4854-BE4F-90E969C342EA}" name="weeky trend"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2">
  <location ref="E14:F22" firstHeaderRow="1" firstDataRow="1" firstDataCol="1"/>
  <pivotFields count="3">
    <pivotField dataField="1" subtotalTop="0" showAll="0" defaultSubtotal="0"/>
    <pivotField allDrilled="1" subtotalTop="0" showAll="0" dataSourceSort="1" defaultSubtotal="0" defaultAttributeDrillState="1"/>
    <pivotField axis="axisRow" allDrilled="1" subtotalTop="0" showAll="0" sortType="descending" defaultSubtotal="0" defaultAttributeDrillState="1">
      <items count="7">
        <item x="2"/>
        <item x="0"/>
        <item x="4"/>
        <item x="6"/>
        <item x="5"/>
        <item x="1"/>
        <item x="3"/>
      </items>
    </pivotField>
  </pivotFields>
  <rowFields count="1">
    <field x="2"/>
  </rowFields>
  <rowItems count="8">
    <i>
      <x/>
    </i>
    <i>
      <x v="1"/>
    </i>
    <i>
      <x v="2"/>
    </i>
    <i>
      <x v="3"/>
    </i>
    <i>
      <x v="4"/>
    </i>
    <i>
      <x v="5"/>
    </i>
    <i>
      <x v="6"/>
    </i>
    <i t="grand">
      <x/>
    </i>
  </rowItems>
  <colItems count="1">
    <i/>
  </colItems>
  <dataFields count="1">
    <dataField name="call count2" fld="0" subtotal="count" baseField="0" baseItem="0"/>
  </dataFields>
  <chartFormats count="2">
    <chartFormat chart="37" format="4" series="1">
      <pivotArea type="data" outline="0" fieldPosition="0">
        <references count="1">
          <reference field="4294967294" count="1" selected="0">
            <x v="0"/>
          </reference>
        </references>
      </pivotArea>
    </chartFormat>
    <chartFormat chart="58"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801B48-E8B1-4634-84DE-6EB94CAC6475}" name="analysis" cacheId="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location ref="A66:G85" firstHeaderRow="1" firstDataRow="2"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2">
    <field x="0"/>
    <field x="1"/>
  </rowFields>
  <rowItems count="18">
    <i>
      <x/>
    </i>
    <i r="1">
      <x/>
    </i>
    <i r="1">
      <x v="1"/>
    </i>
    <i r="1">
      <x v="2"/>
    </i>
    <i r="1">
      <x v="3"/>
    </i>
    <i>
      <x v="1"/>
    </i>
    <i r="1">
      <x v="4"/>
    </i>
    <i r="1">
      <x v="5"/>
    </i>
    <i r="1">
      <x v="6"/>
    </i>
    <i r="1">
      <x v="7"/>
    </i>
    <i r="1">
      <x v="8"/>
    </i>
    <i r="1">
      <x v="9"/>
    </i>
    <i>
      <x v="2"/>
    </i>
    <i r="1">
      <x v="10"/>
    </i>
    <i r="1">
      <x v="11"/>
    </i>
    <i r="1">
      <x v="12"/>
    </i>
    <i r="1">
      <x v="13"/>
    </i>
    <i r="1">
      <x v="14"/>
    </i>
  </rowItems>
  <colFields count="1">
    <field x="2"/>
  </colFields>
  <colItems count="6">
    <i>
      <x/>
    </i>
    <i>
      <x v="1"/>
    </i>
    <i>
      <x v="2"/>
    </i>
    <i>
      <x v="3"/>
    </i>
    <i>
      <x v="4"/>
    </i>
    <i t="grand">
      <x/>
    </i>
  </colItems>
  <dataFields count="1">
    <dataField fld="3"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34E1BF-E486-47E1-8300-48C42CF6E6BD}" name="rep satisfaction"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56:B61"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1">
    <chartFormat chart="11"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648693-3136-485F-AC4C-5C5204C28A37}" name="monthly trend"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0">
  <location ref="A14:C27" firstHeaderRow="0" firstDataRow="1" firstDataCol="1"/>
  <pivotFields count="5">
    <pivotField dataField="1" subtotalTop="0" showAll="0" defaultSubtotal="0"/>
    <pivotField axis="axisRow" allDrilled="1" subtotalTop="0" showAll="0" dataSourceSort="1" defaultSubtotal="0" defaultAttributeDrillState="1">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0" subtotal="count" baseField="0" baseItem="0"/>
    <dataField name="call count2" fld="4" subtotal="count" baseField="0" baseItem="0">
      <extLst>
        <ext xmlns:x14="http://schemas.microsoft.com/office/spreadsheetml/2009/9/main" uri="{E15A36E0-9728-4e99-A89B-3F7291B0FE68}">
          <x14:dataField sourceField="0" uniqueName="[__Xl2].[Measures].[call count]"/>
        </ext>
      </extLst>
    </dataField>
  </dataFields>
  <chartFormats count="2">
    <chartFormat chart="37" format="4" series="1">
      <pivotArea type="data" outline="0" fieldPosition="0">
        <references count="1">
          <reference field="4294967294" count="1" selected="0">
            <x v="1"/>
          </reference>
        </references>
      </pivotArea>
    </chartFormat>
    <chartFormat chart="37" format="5"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FE061F-EE63-469D-823D-30C3E7F04805}" name="gender pivo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6:D51"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3">
    <i>
      <x/>
    </i>
    <i>
      <x v="1"/>
    </i>
    <i t="grand">
      <x/>
    </i>
  </colItems>
  <dataFields count="1">
    <dataField fld="2" subtotal="count" baseField="0" baseItem="0"/>
  </dataFields>
  <chartFormats count="3">
    <chartFormat chart="5" format="4" series="1">
      <pivotArea type="data" outline="0" fieldPosition="0">
        <references count="2">
          <reference field="4294967294" count="1" selected="0">
            <x v="0"/>
          </reference>
          <reference field="0" count="1" selected="0">
            <x v="0"/>
          </reference>
        </references>
      </pivotArea>
    </chartFormat>
    <chartFormat chart="5" format="5" series="1">
      <pivotArea type="data" outline="0" fieldPosition="0">
        <references count="2">
          <reference field="4294967294" count="1" selected="0">
            <x v="0"/>
          </reference>
          <reference field="0" count="1" selected="0">
            <x v="1"/>
          </reference>
        </references>
      </pivotArea>
    </chartFormat>
    <chartFormat chart="5" format="6">
      <pivotArea type="data" outline="0" fieldPosition="0">
        <references count="3">
          <reference field="4294967294" count="1" selected="0">
            <x v="0"/>
          </reference>
          <reference field="0" count="1" selected="0">
            <x v="0"/>
          </reference>
          <reference field="1" count="1" selected="0">
            <x v="2"/>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D9223FF-8FB5-49C7-A60E-6C608979002A}" name="rep pivot"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8:E9"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6269712-4734-4952-9004-A84557D07375}" name="summary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B0A39C7-069F-442F-9CD2-06E22F9BFD84}" name="selected rep"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41:A42"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3">
    <format dxfId="17">
      <pivotArea dataOnly="0" labelOnly="1" fieldPosition="0">
        <references count="1">
          <reference field="0" count="0"/>
        </references>
      </pivotArea>
    </format>
    <format dxfId="16">
      <pivotArea dataOnly="0" labelOnly="1" fieldPosition="0">
        <references count="1">
          <reference field="0" count="0"/>
        </references>
      </pivotArea>
    </format>
    <format dxfId="15">
      <pivotArea dataOnly="0" labelOnly="1" fieldPosition="0">
        <references count="1">
          <reference field="0" count="0"/>
        </references>
      </pivotArea>
    </format>
  </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D1ED55EF-969A-4436-8BB2-46C74182B083}" sourceName="[calls].[Representative]">
  <pivotTables>
    <pivotTable tabId="5" name="rep pivot"/>
    <pivotTable tabId="5" name="monthly trend"/>
    <pivotTable tabId="5" name="weeky trend"/>
    <pivotTable tabId="5" name="selected rep"/>
    <pivotTable tabId="5" name="rep satisfaction"/>
  </pivotTables>
  <data>
    <olap pivotCacheId="1954411077">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2305C512-22E9-4AEF-AE13-0E21362910F4}" cache="Slicer_Representative" caption="Representative" level="1" style="SlicerStyleLight3" rowHeight="43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4"/>
    <tableColumn id="5" xr3:uid="{5A35565E-8707-4DED-AD15-A0669D67B382}" name="Date of Call" dataDxfId="13"/>
    <tableColumn id="6" xr3:uid="{F2E4F158-B41F-47BC-8DF8-DFCADFEE4E40}" name="Purchase Amount"/>
    <tableColumn id="7" xr3:uid="{04B291B5-47BD-4F78-8FD8-D1551CCA6BD9}" name="Satisfaction Rating"/>
    <tableColumn id="8" xr3:uid="{6E4123C0-0B17-43B8-A142-A1E540CE974C}" name="FY" dataDxfId="12">
      <calculatedColumnFormula>IF(MONTH(calls[[#This Row],[Date of Call]])&lt;=6, YEAR(calls[[#This Row],[Date of Call]]), YEAR(calls[[#This Row],[Date of Call]])+1)</calculatedColumnFormula>
    </tableColumn>
    <tableColumn id="9" xr3:uid="{199FA271-5E9B-46CE-9BC6-2801F92CD17E}" name="Day of week" dataDxfId="11">
      <calculatedColumnFormula>TEXT(calls[[#This Row],[Date of Call]],"DDDD")</calculatedColumnFormula>
    </tableColumn>
    <tableColumn id="10" xr3:uid="{328CDB09-95B8-4D5E-9ED9-EF0D363735A1}" name="Duration Bucket" dataDxfId="10">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9">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8" headerRowBorderDxfId="7" tableBorderDxfId="6" totalsRowBorderDxfId="5">
  <autoFilter ref="Q3:T18" xr:uid="{27158F51-A707-4171-8A04-81FB0AABCBA5}"/>
  <tableColumns count="4">
    <tableColumn id="1" xr3:uid="{02688061-6A8C-4E23-B7FF-D00CD8B58CAC}" name="Customer ID" dataDxfId="1"/>
    <tableColumn id="2" xr3:uid="{771678B6-DB44-426B-9874-B4E421A440D5}" name="Gedner" dataDxfId="4"/>
    <tableColumn id="3" xr3:uid="{B0D41C62-587E-494D-B49A-603F2C05F8D3}" name="Age" dataDxfId="3"/>
    <tableColumn id="4" xr3:uid="{663F92D6-FE31-4D81-9E01-8D066DDC8A88}" name="City" dataDxfId="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B75B6-859F-4A2B-A110-6686CC129490}">
  <dimension ref="A3:I85"/>
  <sheetViews>
    <sheetView topLeftCell="A13" zoomScale="61" workbookViewId="0">
      <selection activeCell="B34" sqref="B34"/>
    </sheetView>
  </sheetViews>
  <sheetFormatPr defaultRowHeight="14" x14ac:dyDescent="0.3"/>
  <cols>
    <col min="1" max="1" width="14.6640625" bestFit="1" customWidth="1"/>
    <col min="2" max="2" width="9.5" bestFit="1" customWidth="1"/>
    <col min="3" max="3" width="10.5" bestFit="1" customWidth="1"/>
    <col min="4" max="5" width="14.6640625" bestFit="1" customWidth="1"/>
    <col min="6" max="6" width="10.5" bestFit="1" customWidth="1"/>
    <col min="7" max="7" width="11.33203125" bestFit="1" customWidth="1"/>
    <col min="13" max="14" width="10.5" bestFit="1" customWidth="1"/>
    <col min="15" max="15" width="12.83203125" bestFit="1" customWidth="1"/>
    <col min="16" max="16" width="14.6640625" bestFit="1" customWidth="1"/>
    <col min="17" max="17" width="6.58203125" bestFit="1" customWidth="1"/>
  </cols>
  <sheetData>
    <row r="3" spans="1:6" x14ac:dyDescent="0.3">
      <c r="A3" t="s">
        <v>1040</v>
      </c>
      <c r="B3" t="s">
        <v>1041</v>
      </c>
      <c r="C3" t="s">
        <v>1042</v>
      </c>
      <c r="D3" t="s">
        <v>1043</v>
      </c>
      <c r="E3" t="s">
        <v>1044</v>
      </c>
    </row>
    <row r="4" spans="1:6" x14ac:dyDescent="0.3">
      <c r="A4" s="20">
        <v>1000</v>
      </c>
      <c r="B4" s="21">
        <v>96623</v>
      </c>
      <c r="C4" s="20">
        <v>89850</v>
      </c>
      <c r="D4" s="22">
        <v>3.8854000000000033</v>
      </c>
      <c r="E4" s="20">
        <v>307</v>
      </c>
    </row>
    <row r="8" spans="1:6" x14ac:dyDescent="0.3">
      <c r="A8" t="s">
        <v>1040</v>
      </c>
      <c r="B8" t="s">
        <v>1041</v>
      </c>
      <c r="C8" t="s">
        <v>1042</v>
      </c>
      <c r="D8" t="s">
        <v>1043</v>
      </c>
      <c r="E8" t="s">
        <v>1044</v>
      </c>
    </row>
    <row r="9" spans="1:6" x14ac:dyDescent="0.3">
      <c r="A9" s="20">
        <v>200</v>
      </c>
      <c r="B9" s="21">
        <v>20104</v>
      </c>
      <c r="C9" s="20">
        <v>18209</v>
      </c>
      <c r="D9" s="22">
        <v>3.8824999999999998</v>
      </c>
      <c r="E9" s="20">
        <v>51</v>
      </c>
    </row>
    <row r="14" spans="1:6" x14ac:dyDescent="0.3">
      <c r="A14" s="23" t="s">
        <v>1045</v>
      </c>
      <c r="B14" t="s">
        <v>1040</v>
      </c>
      <c r="C14" t="s">
        <v>1066</v>
      </c>
      <c r="E14" s="23" t="s">
        <v>1045</v>
      </c>
      <c r="F14" t="s">
        <v>1066</v>
      </c>
    </row>
    <row r="15" spans="1:6" x14ac:dyDescent="0.3">
      <c r="A15" s="25" t="s">
        <v>1047</v>
      </c>
      <c r="B15" s="20">
        <v>21</v>
      </c>
      <c r="C15" s="20">
        <v>21</v>
      </c>
      <c r="E15" s="25" t="s">
        <v>1065</v>
      </c>
      <c r="F15" s="20">
        <v>38</v>
      </c>
    </row>
    <row r="16" spans="1:6" x14ac:dyDescent="0.3">
      <c r="A16" s="25" t="s">
        <v>1048</v>
      </c>
      <c r="B16" s="20">
        <v>18</v>
      </c>
      <c r="C16" s="20">
        <v>18</v>
      </c>
      <c r="E16" s="25" t="s">
        <v>1064</v>
      </c>
      <c r="F16" s="20">
        <v>32</v>
      </c>
    </row>
    <row r="17" spans="1:9" x14ac:dyDescent="0.3">
      <c r="A17" s="25" t="s">
        <v>1049</v>
      </c>
      <c r="B17" s="20">
        <v>31</v>
      </c>
      <c r="C17" s="20">
        <v>31</v>
      </c>
      <c r="E17" s="25" t="s">
        <v>1063</v>
      </c>
      <c r="F17" s="20">
        <v>27</v>
      </c>
    </row>
    <row r="18" spans="1:9" x14ac:dyDescent="0.3">
      <c r="A18" s="25" t="s">
        <v>1050</v>
      </c>
      <c r="B18" s="20">
        <v>20</v>
      </c>
      <c r="C18" s="20">
        <v>20</v>
      </c>
      <c r="E18" s="25" t="s">
        <v>1062</v>
      </c>
      <c r="F18" s="20">
        <v>27</v>
      </c>
    </row>
    <row r="19" spans="1:9" x14ac:dyDescent="0.3">
      <c r="A19" s="25" t="s">
        <v>1051</v>
      </c>
      <c r="B19" s="20">
        <v>8</v>
      </c>
      <c r="C19" s="20">
        <v>8</v>
      </c>
      <c r="E19" s="25" t="s">
        <v>1061</v>
      </c>
      <c r="F19" s="20">
        <v>27</v>
      </c>
    </row>
    <row r="20" spans="1:9" x14ac:dyDescent="0.3">
      <c r="A20" s="25" t="s">
        <v>1052</v>
      </c>
      <c r="B20" s="20">
        <v>12</v>
      </c>
      <c r="C20" s="20">
        <v>12</v>
      </c>
      <c r="E20" s="25" t="s">
        <v>1060</v>
      </c>
      <c r="F20" s="20">
        <v>22</v>
      </c>
    </row>
    <row r="21" spans="1:9" x14ac:dyDescent="0.3">
      <c r="A21" s="25" t="s">
        <v>1053</v>
      </c>
      <c r="B21" s="20">
        <v>12</v>
      </c>
      <c r="C21" s="20">
        <v>12</v>
      </c>
      <c r="E21" s="25" t="s">
        <v>1059</v>
      </c>
      <c r="F21" s="20">
        <v>27</v>
      </c>
    </row>
    <row r="22" spans="1:9" x14ac:dyDescent="0.3">
      <c r="A22" s="25" t="s">
        <v>1054</v>
      </c>
      <c r="B22" s="20">
        <v>7</v>
      </c>
      <c r="C22" s="20">
        <v>7</v>
      </c>
      <c r="E22" s="25" t="s">
        <v>1046</v>
      </c>
      <c r="F22" s="20">
        <v>200</v>
      </c>
    </row>
    <row r="23" spans="1:9" x14ac:dyDescent="0.3">
      <c r="A23" s="25" t="s">
        <v>1055</v>
      </c>
      <c r="B23" s="20">
        <v>20</v>
      </c>
      <c r="C23" s="20">
        <v>20</v>
      </c>
    </row>
    <row r="24" spans="1:9" x14ac:dyDescent="0.3">
      <c r="A24" s="25" t="s">
        <v>1056</v>
      </c>
      <c r="B24" s="20">
        <v>24</v>
      </c>
      <c r="C24" s="20">
        <v>24</v>
      </c>
    </row>
    <row r="25" spans="1:9" x14ac:dyDescent="0.3">
      <c r="A25" s="25" t="s">
        <v>1057</v>
      </c>
      <c r="B25" s="20">
        <v>12</v>
      </c>
      <c r="C25" s="20">
        <v>12</v>
      </c>
    </row>
    <row r="26" spans="1:9" x14ac:dyDescent="0.3">
      <c r="A26" s="25" t="s">
        <v>1058</v>
      </c>
      <c r="B26" s="20">
        <v>15</v>
      </c>
      <c r="C26" s="20">
        <v>15</v>
      </c>
    </row>
    <row r="27" spans="1:9" x14ac:dyDescent="0.3">
      <c r="A27" s="25" t="s">
        <v>1046</v>
      </c>
      <c r="B27" s="20">
        <v>200</v>
      </c>
      <c r="C27" s="20">
        <v>200</v>
      </c>
    </row>
    <row r="30" spans="1:9" x14ac:dyDescent="0.3">
      <c r="H30" t="s">
        <v>1073</v>
      </c>
      <c r="I30" t="str">
        <f>A42</f>
        <v>R05</v>
      </c>
    </row>
    <row r="32" spans="1:9" x14ac:dyDescent="0.3">
      <c r="E32" t="s">
        <v>1067</v>
      </c>
    </row>
    <row r="33" spans="1:9" x14ac:dyDescent="0.3">
      <c r="A33" s="23" t="s">
        <v>1045</v>
      </c>
      <c r="B33" t="s">
        <v>1040</v>
      </c>
      <c r="C33" t="s">
        <v>1041</v>
      </c>
      <c r="E33" t="s">
        <v>1068</v>
      </c>
      <c r="F33" t="s">
        <v>1069</v>
      </c>
      <c r="G33" t="s">
        <v>1070</v>
      </c>
      <c r="H33" t="s">
        <v>1071</v>
      </c>
      <c r="I33" t="s">
        <v>1072</v>
      </c>
    </row>
    <row r="34" spans="1:9" x14ac:dyDescent="0.3">
      <c r="A34" s="25" t="s">
        <v>11</v>
      </c>
      <c r="B34" s="20">
        <v>189</v>
      </c>
      <c r="C34" s="21">
        <v>18415</v>
      </c>
      <c r="E34" t="str">
        <f>A34</f>
        <v>R01</v>
      </c>
      <c r="F34">
        <f t="shared" ref="F34" si="0">B34</f>
        <v>189</v>
      </c>
      <c r="G34" s="26">
        <f>C34</f>
        <v>18415</v>
      </c>
      <c r="H34" t="e">
        <f>IF(E34=$I$30,F34,NA())</f>
        <v>#N/A</v>
      </c>
      <c r="I34" t="e">
        <f>IF(E34=$I$30,G34,NA())</f>
        <v>#N/A</v>
      </c>
    </row>
    <row r="35" spans="1:9" x14ac:dyDescent="0.3">
      <c r="A35" s="25" t="s">
        <v>9</v>
      </c>
      <c r="B35" s="20">
        <v>218</v>
      </c>
      <c r="C35" s="21">
        <v>20581</v>
      </c>
      <c r="E35" t="str">
        <f t="shared" ref="E35:E38" si="1">A35</f>
        <v>R02</v>
      </c>
      <c r="F35">
        <f t="shared" ref="F35:F38" si="2">B35</f>
        <v>218</v>
      </c>
      <c r="G35" s="26">
        <f t="shared" ref="G35:G38" si="3">C35</f>
        <v>20581</v>
      </c>
      <c r="H35" t="e">
        <f t="shared" ref="H35:H38" si="4">IF(E35=$I$30,F35,NA())</f>
        <v>#N/A</v>
      </c>
      <c r="I35" t="e">
        <f t="shared" ref="I35:I38" si="5">IF(E35=$I$30,G35,NA())</f>
        <v>#N/A</v>
      </c>
    </row>
    <row r="36" spans="1:9" x14ac:dyDescent="0.3">
      <c r="A36" s="25" t="s">
        <v>6</v>
      </c>
      <c r="B36" s="20">
        <v>207</v>
      </c>
      <c r="C36" s="21">
        <v>20872</v>
      </c>
      <c r="E36" t="str">
        <f t="shared" si="1"/>
        <v>R03</v>
      </c>
      <c r="F36">
        <f t="shared" si="2"/>
        <v>207</v>
      </c>
      <c r="G36" s="26">
        <f t="shared" si="3"/>
        <v>20872</v>
      </c>
      <c r="H36" t="e">
        <f t="shared" si="4"/>
        <v>#N/A</v>
      </c>
      <c r="I36" t="e">
        <f t="shared" si="5"/>
        <v>#N/A</v>
      </c>
    </row>
    <row r="37" spans="1:9" x14ac:dyDescent="0.3">
      <c r="A37" s="25" t="s">
        <v>13</v>
      </c>
      <c r="B37" s="20">
        <v>186</v>
      </c>
      <c r="C37" s="21">
        <v>16651</v>
      </c>
      <c r="E37" t="str">
        <f t="shared" si="1"/>
        <v>R04</v>
      </c>
      <c r="F37">
        <f t="shared" si="2"/>
        <v>186</v>
      </c>
      <c r="G37" s="26">
        <f t="shared" si="3"/>
        <v>16651</v>
      </c>
      <c r="H37" t="e">
        <f t="shared" si="4"/>
        <v>#N/A</v>
      </c>
      <c r="I37" t="e">
        <f t="shared" si="5"/>
        <v>#N/A</v>
      </c>
    </row>
    <row r="38" spans="1:9" x14ac:dyDescent="0.3">
      <c r="A38" s="25" t="s">
        <v>10</v>
      </c>
      <c r="B38" s="20">
        <v>200</v>
      </c>
      <c r="C38" s="21">
        <v>20104</v>
      </c>
      <c r="E38" t="str">
        <f t="shared" si="1"/>
        <v>R05</v>
      </c>
      <c r="F38">
        <f t="shared" si="2"/>
        <v>200</v>
      </c>
      <c r="G38" s="26">
        <f t="shared" si="3"/>
        <v>20104</v>
      </c>
      <c r="H38">
        <f t="shared" si="4"/>
        <v>200</v>
      </c>
      <c r="I38">
        <f t="shared" si="5"/>
        <v>20104</v>
      </c>
    </row>
    <row r="39" spans="1:9" x14ac:dyDescent="0.3">
      <c r="A39" s="25" t="s">
        <v>1046</v>
      </c>
      <c r="B39" s="20">
        <v>1000</v>
      </c>
      <c r="C39" s="21">
        <v>96623</v>
      </c>
    </row>
    <row r="41" spans="1:9" x14ac:dyDescent="0.3">
      <c r="A41" s="23" t="s">
        <v>1045</v>
      </c>
    </row>
    <row r="42" spans="1:9" x14ac:dyDescent="0.3">
      <c r="A42" s="27" t="s">
        <v>10</v>
      </c>
    </row>
    <row r="46" spans="1:9" x14ac:dyDescent="0.3">
      <c r="A46" s="23" t="s">
        <v>1040</v>
      </c>
      <c r="B46" s="23" t="s">
        <v>1074</v>
      </c>
    </row>
    <row r="47" spans="1:9" x14ac:dyDescent="0.3">
      <c r="A47" s="23" t="s">
        <v>1045</v>
      </c>
      <c r="B47" t="s">
        <v>999</v>
      </c>
      <c r="C47" t="s">
        <v>998</v>
      </c>
      <c r="D47" t="s">
        <v>1046</v>
      </c>
    </row>
    <row r="48" spans="1:9" x14ac:dyDescent="0.3">
      <c r="A48" s="25" t="s">
        <v>1002</v>
      </c>
      <c r="B48" s="20">
        <v>144</v>
      </c>
      <c r="C48" s="20">
        <v>132</v>
      </c>
      <c r="D48" s="20">
        <v>276</v>
      </c>
    </row>
    <row r="49" spans="1:4" x14ac:dyDescent="0.3">
      <c r="A49" s="25" t="s">
        <v>1001</v>
      </c>
      <c r="B49" s="20">
        <v>326</v>
      </c>
      <c r="C49" s="20">
        <v>63</v>
      </c>
      <c r="D49" s="20">
        <v>389</v>
      </c>
    </row>
    <row r="50" spans="1:4" x14ac:dyDescent="0.3">
      <c r="A50" s="25" t="s">
        <v>1000</v>
      </c>
      <c r="B50" s="20">
        <v>129</v>
      </c>
      <c r="C50" s="20">
        <v>206</v>
      </c>
      <c r="D50" s="20">
        <v>335</v>
      </c>
    </row>
    <row r="51" spans="1:4" x14ac:dyDescent="0.3">
      <c r="A51" s="25" t="s">
        <v>1046</v>
      </c>
      <c r="B51" s="20">
        <v>599</v>
      </c>
      <c r="C51" s="20">
        <v>401</v>
      </c>
      <c r="D51" s="20">
        <v>1000</v>
      </c>
    </row>
    <row r="56" spans="1:4" x14ac:dyDescent="0.3">
      <c r="A56" s="23" t="s">
        <v>1045</v>
      </c>
      <c r="B56" t="s">
        <v>1040</v>
      </c>
    </row>
    <row r="57" spans="1:4" x14ac:dyDescent="0.3">
      <c r="A57" s="25">
        <v>2</v>
      </c>
      <c r="B57" s="20">
        <v>10</v>
      </c>
    </row>
    <row r="58" spans="1:4" x14ac:dyDescent="0.3">
      <c r="A58" s="25">
        <v>3</v>
      </c>
      <c r="B58" s="20">
        <v>44</v>
      </c>
    </row>
    <row r="59" spans="1:4" x14ac:dyDescent="0.3">
      <c r="A59" s="25">
        <v>4</v>
      </c>
      <c r="B59" s="20">
        <v>95</v>
      </c>
    </row>
    <row r="60" spans="1:4" x14ac:dyDescent="0.3">
      <c r="A60" s="25">
        <v>5</v>
      </c>
      <c r="B60" s="20">
        <v>51</v>
      </c>
    </row>
    <row r="61" spans="1:4" x14ac:dyDescent="0.3">
      <c r="A61" s="25" t="s">
        <v>1046</v>
      </c>
      <c r="B61" s="20">
        <v>200</v>
      </c>
    </row>
    <row r="66" spans="1:7" x14ac:dyDescent="0.3">
      <c r="A66" s="23" t="s">
        <v>1041</v>
      </c>
      <c r="B66" s="23" t="s">
        <v>1074</v>
      </c>
    </row>
    <row r="67" spans="1:7" x14ac:dyDescent="0.3">
      <c r="A67" s="23" t="s">
        <v>1045</v>
      </c>
      <c r="B67" t="s">
        <v>11</v>
      </c>
      <c r="C67" t="s">
        <v>9</v>
      </c>
      <c r="D67" t="s">
        <v>6</v>
      </c>
      <c r="E67" t="s">
        <v>13</v>
      </c>
      <c r="F67" t="s">
        <v>10</v>
      </c>
      <c r="G67" t="s">
        <v>1046</v>
      </c>
    </row>
    <row r="68" spans="1:7" x14ac:dyDescent="0.3">
      <c r="A68" s="25" t="s">
        <v>1002</v>
      </c>
    </row>
    <row r="69" spans="1:7" x14ac:dyDescent="0.3">
      <c r="A69" s="28" t="s">
        <v>20</v>
      </c>
      <c r="B69" s="21">
        <v>891</v>
      </c>
      <c r="C69" s="21">
        <v>1332</v>
      </c>
      <c r="D69" s="21">
        <v>1282</v>
      </c>
      <c r="E69" s="21">
        <v>739</v>
      </c>
      <c r="F69" s="21">
        <v>560</v>
      </c>
      <c r="G69" s="21">
        <v>4804</v>
      </c>
    </row>
    <row r="70" spans="1:7" x14ac:dyDescent="0.3">
      <c r="A70" s="28" t="s">
        <v>12</v>
      </c>
      <c r="B70" s="21">
        <v>1991</v>
      </c>
      <c r="C70" s="21">
        <v>1886</v>
      </c>
      <c r="D70" s="21">
        <v>1206</v>
      </c>
      <c r="E70" s="21">
        <v>884</v>
      </c>
      <c r="F70" s="21">
        <v>1722</v>
      </c>
      <c r="G70" s="21">
        <v>7689</v>
      </c>
    </row>
    <row r="71" spans="1:7" x14ac:dyDescent="0.3">
      <c r="A71" s="28" t="s">
        <v>8</v>
      </c>
      <c r="B71" s="21">
        <v>1163</v>
      </c>
      <c r="C71" s="21">
        <v>1180</v>
      </c>
      <c r="D71" s="21">
        <v>1616</v>
      </c>
      <c r="E71" s="21">
        <v>1043</v>
      </c>
      <c r="F71" s="21">
        <v>1747</v>
      </c>
      <c r="G71" s="21">
        <v>6749</v>
      </c>
    </row>
    <row r="72" spans="1:7" x14ac:dyDescent="0.3">
      <c r="A72" s="28" t="s">
        <v>16</v>
      </c>
      <c r="B72" s="21">
        <v>1438</v>
      </c>
      <c r="C72" s="21">
        <v>1616</v>
      </c>
      <c r="D72" s="21">
        <v>866</v>
      </c>
      <c r="E72" s="21">
        <v>829</v>
      </c>
      <c r="F72" s="21">
        <v>2070</v>
      </c>
      <c r="G72" s="21">
        <v>6819</v>
      </c>
    </row>
    <row r="73" spans="1:7" x14ac:dyDescent="0.3">
      <c r="A73" s="25" t="s">
        <v>1001</v>
      </c>
    </row>
    <row r="74" spans="1:7" x14ac:dyDescent="0.3">
      <c r="A74" s="28" t="s">
        <v>24</v>
      </c>
      <c r="B74" s="21">
        <v>1233</v>
      </c>
      <c r="C74" s="21">
        <v>223</v>
      </c>
      <c r="D74" s="21">
        <v>1680</v>
      </c>
      <c r="E74" s="21">
        <v>990</v>
      </c>
      <c r="F74" s="21">
        <v>1508</v>
      </c>
      <c r="G74" s="21">
        <v>5634</v>
      </c>
    </row>
    <row r="75" spans="1:7" x14ac:dyDescent="0.3">
      <c r="A75" s="28" t="s">
        <v>15</v>
      </c>
      <c r="B75" s="21">
        <v>1598</v>
      </c>
      <c r="C75" s="21">
        <v>1907</v>
      </c>
      <c r="D75" s="21">
        <v>869</v>
      </c>
      <c r="E75" s="21">
        <v>1426</v>
      </c>
      <c r="F75" s="21">
        <v>1416</v>
      </c>
      <c r="G75" s="21">
        <v>7216</v>
      </c>
    </row>
    <row r="76" spans="1:7" x14ac:dyDescent="0.3">
      <c r="A76" s="28" t="s">
        <v>5</v>
      </c>
      <c r="B76" s="21">
        <v>900</v>
      </c>
      <c r="C76" s="21">
        <v>1016</v>
      </c>
      <c r="D76" s="21">
        <v>960</v>
      </c>
      <c r="E76" s="21">
        <v>940</v>
      </c>
      <c r="F76" s="21">
        <v>1193</v>
      </c>
      <c r="G76" s="21">
        <v>5009</v>
      </c>
    </row>
    <row r="77" spans="1:7" x14ac:dyDescent="0.3">
      <c r="A77" s="28" t="s">
        <v>18</v>
      </c>
      <c r="B77" s="21">
        <v>900</v>
      </c>
      <c r="C77" s="21">
        <v>1470</v>
      </c>
      <c r="D77" s="21">
        <v>1617</v>
      </c>
      <c r="E77" s="21">
        <v>1314</v>
      </c>
      <c r="F77" s="21">
        <v>941</v>
      </c>
      <c r="G77" s="21">
        <v>6242</v>
      </c>
    </row>
    <row r="78" spans="1:7" x14ac:dyDescent="0.3">
      <c r="A78" s="28" t="s">
        <v>14</v>
      </c>
      <c r="B78" s="21">
        <v>1255</v>
      </c>
      <c r="C78" s="21">
        <v>516</v>
      </c>
      <c r="D78" s="21">
        <v>1874</v>
      </c>
      <c r="E78" s="21">
        <v>1863</v>
      </c>
      <c r="F78" s="21">
        <v>1722</v>
      </c>
      <c r="G78" s="21">
        <v>7230</v>
      </c>
    </row>
    <row r="79" spans="1:7" x14ac:dyDescent="0.3">
      <c r="A79" s="28" t="s">
        <v>19</v>
      </c>
      <c r="B79" s="21">
        <v>1138</v>
      </c>
      <c r="C79" s="21">
        <v>1898</v>
      </c>
      <c r="D79" s="21">
        <v>1482</v>
      </c>
      <c r="E79" s="21">
        <v>846</v>
      </c>
      <c r="F79" s="21">
        <v>1154</v>
      </c>
      <c r="G79" s="21">
        <v>6518</v>
      </c>
    </row>
    <row r="80" spans="1:7" x14ac:dyDescent="0.3">
      <c r="A80" s="25" t="s">
        <v>1000</v>
      </c>
    </row>
    <row r="81" spans="1:7" x14ac:dyDescent="0.3">
      <c r="A81" s="28" t="s">
        <v>17</v>
      </c>
      <c r="B81" s="21">
        <v>1655</v>
      </c>
      <c r="C81" s="21">
        <v>805</v>
      </c>
      <c r="D81" s="21">
        <v>2263</v>
      </c>
      <c r="E81" s="21">
        <v>987</v>
      </c>
      <c r="F81" s="21">
        <v>1075</v>
      </c>
      <c r="G81" s="21">
        <v>6785</v>
      </c>
    </row>
    <row r="82" spans="1:7" x14ac:dyDescent="0.3">
      <c r="A82" s="28" t="s">
        <v>23</v>
      </c>
      <c r="B82" s="21">
        <v>1104</v>
      </c>
      <c r="C82" s="21">
        <v>2280</v>
      </c>
      <c r="D82" s="21">
        <v>1445</v>
      </c>
      <c r="E82" s="21">
        <v>1722</v>
      </c>
      <c r="F82" s="21">
        <v>1196</v>
      </c>
      <c r="G82" s="21">
        <v>7747</v>
      </c>
    </row>
    <row r="83" spans="1:7" x14ac:dyDescent="0.3">
      <c r="A83" s="28" t="s">
        <v>7</v>
      </c>
      <c r="B83" s="21">
        <v>372</v>
      </c>
      <c r="C83" s="21">
        <v>1818</v>
      </c>
      <c r="D83" s="21">
        <v>1346</v>
      </c>
      <c r="E83" s="21">
        <v>1156</v>
      </c>
      <c r="F83" s="21">
        <v>1484</v>
      </c>
      <c r="G83" s="21">
        <v>6176</v>
      </c>
    </row>
    <row r="84" spans="1:7" x14ac:dyDescent="0.3">
      <c r="A84" s="28" t="s">
        <v>22</v>
      </c>
      <c r="B84" s="21">
        <v>1415</v>
      </c>
      <c r="C84" s="21">
        <v>1271</v>
      </c>
      <c r="D84" s="21">
        <v>1214</v>
      </c>
      <c r="E84" s="21">
        <v>1135</v>
      </c>
      <c r="F84" s="21">
        <v>1566</v>
      </c>
      <c r="G84" s="21">
        <v>6601</v>
      </c>
    </row>
    <row r="85" spans="1:7" x14ac:dyDescent="0.3">
      <c r="A85" s="28" t="s">
        <v>21</v>
      </c>
      <c r="B85" s="21">
        <v>1362</v>
      </c>
      <c r="C85" s="21">
        <v>1363</v>
      </c>
      <c r="D85" s="21">
        <v>1152</v>
      </c>
      <c r="E85" s="21">
        <v>777</v>
      </c>
      <c r="F85" s="21">
        <v>750</v>
      </c>
      <c r="G85" s="21">
        <v>5404</v>
      </c>
    </row>
  </sheetData>
  <pageMargins left="0.7" right="0.7" top="0.75" bottom="0.75" header="0.3" footer="0.3"/>
  <pageSetup orientation="portrait"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09320-E4DA-46D3-BB64-3595BE4EADE4}">
  <dimension ref="A1:AI66"/>
  <sheetViews>
    <sheetView tabSelected="1" topLeftCell="B1" zoomScale="44" zoomScaleNormal="57" workbookViewId="0">
      <selection activeCell="T24" sqref="T24:Z42"/>
    </sheetView>
  </sheetViews>
  <sheetFormatPr defaultRowHeight="14" x14ac:dyDescent="0.3"/>
  <cols>
    <col min="1" max="1" width="4.08203125" customWidth="1"/>
    <col min="2" max="2" width="2.6640625" customWidth="1"/>
    <col min="20" max="20" width="13.25" customWidth="1"/>
    <col min="21" max="21" width="12.33203125" customWidth="1"/>
    <col min="22" max="22" width="14.75" customWidth="1"/>
    <col min="23" max="23" width="14.25" customWidth="1"/>
    <col min="24" max="24" width="13.83203125" customWidth="1"/>
    <col min="25" max="25" width="14.4140625" customWidth="1"/>
    <col min="26" max="26" width="12.1640625" customWidth="1"/>
  </cols>
  <sheetData>
    <row r="1" spans="1:35" x14ac:dyDescent="0.3">
      <c r="A1" s="24"/>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row>
    <row r="2" spans="1:35" x14ac:dyDescent="0.3">
      <c r="A2" s="24"/>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row>
    <row r="3" spans="1:35" x14ac:dyDescent="0.3">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row>
    <row r="4" spans="1:35" x14ac:dyDescent="0.3">
      <c r="A4" s="24"/>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row>
    <row r="5" spans="1:35" x14ac:dyDescent="0.3">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row>
    <row r="6" spans="1:35" x14ac:dyDescent="0.3">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row>
    <row r="7" spans="1:35" x14ac:dyDescent="0.3">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row>
    <row r="8" spans="1:35" x14ac:dyDescent="0.3">
      <c r="A8" s="24"/>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row>
    <row r="9" spans="1:35" x14ac:dyDescent="0.3">
      <c r="A9" s="24"/>
      <c r="B9" s="24"/>
      <c r="C9" s="24"/>
      <c r="D9" s="24"/>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row>
    <row r="10" spans="1:35" x14ac:dyDescent="0.3">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row>
    <row r="11" spans="1:35" x14ac:dyDescent="0.3">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row>
    <row r="12" spans="1:35" x14ac:dyDescent="0.3">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row>
    <row r="13" spans="1:35" x14ac:dyDescent="0.3">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row>
    <row r="14" spans="1:35" x14ac:dyDescent="0.3">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row>
    <row r="15" spans="1:35" x14ac:dyDescent="0.3">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row>
    <row r="16" spans="1:35" x14ac:dyDescent="0.3">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row>
    <row r="17" spans="1:35" x14ac:dyDescent="0.3">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row>
    <row r="18" spans="1:35" x14ac:dyDescent="0.3">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row>
    <row r="19" spans="1:35" x14ac:dyDescent="0.3">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row>
    <row r="20" spans="1:35" x14ac:dyDescent="0.3">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row>
    <row r="21" spans="1:35" x14ac:dyDescent="0.3">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row>
    <row r="22" spans="1:35" x14ac:dyDescent="0.3">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row>
    <row r="23" spans="1:35" x14ac:dyDescent="0.3">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row>
    <row r="24" spans="1:35" ht="15.5" x14ac:dyDescent="0.35">
      <c r="A24" s="24"/>
      <c r="B24" s="24"/>
      <c r="C24" s="24"/>
      <c r="D24" s="24"/>
      <c r="E24" s="24"/>
      <c r="F24" s="24"/>
      <c r="G24" s="24"/>
      <c r="H24" s="24"/>
      <c r="I24" s="24"/>
      <c r="J24" s="24"/>
      <c r="K24" s="24"/>
      <c r="L24" s="24"/>
      <c r="M24" s="24"/>
      <c r="N24" s="24"/>
      <c r="O24" s="24"/>
      <c r="P24" s="24"/>
      <c r="Q24" s="24"/>
      <c r="R24" s="24"/>
      <c r="S24" s="24"/>
      <c r="T24" s="24"/>
      <c r="U24" s="31" t="str">
        <f>'pivot sheet'!B67</f>
        <v>R01</v>
      </c>
      <c r="V24" s="31" t="str">
        <f>'pivot sheet'!C67</f>
        <v>R02</v>
      </c>
      <c r="W24" s="31" t="str">
        <f>'pivot sheet'!D67</f>
        <v>R03</v>
      </c>
      <c r="X24" s="31" t="str">
        <f>'pivot sheet'!E67</f>
        <v>R04</v>
      </c>
      <c r="Y24" s="31" t="str">
        <f>'pivot sheet'!F67</f>
        <v>R05</v>
      </c>
      <c r="Z24" s="31" t="str">
        <f>'pivot sheet'!G67</f>
        <v>Grand Total</v>
      </c>
      <c r="AA24" s="24"/>
      <c r="AB24" s="24"/>
      <c r="AC24" s="24"/>
      <c r="AD24" s="24"/>
      <c r="AE24" s="24"/>
      <c r="AF24" s="24"/>
      <c r="AG24" s="24"/>
      <c r="AH24" s="24"/>
      <c r="AI24" s="24"/>
    </row>
    <row r="25" spans="1:35" x14ac:dyDescent="0.3">
      <c r="A25" s="24"/>
      <c r="B25" s="24"/>
      <c r="C25" s="24"/>
      <c r="D25" s="24"/>
      <c r="E25" s="24"/>
      <c r="F25" s="24"/>
      <c r="G25" s="24"/>
      <c r="H25" s="24"/>
      <c r="I25" s="24"/>
      <c r="J25" s="24"/>
      <c r="K25" s="24"/>
      <c r="L25" s="24"/>
      <c r="M25" s="24"/>
      <c r="N25" s="24"/>
      <c r="O25" s="24"/>
      <c r="P25" s="24"/>
      <c r="Q25" s="24"/>
      <c r="R25" s="24"/>
      <c r="S25" s="24"/>
      <c r="T25" s="30" t="str">
        <f>'pivot sheet'!A68</f>
        <v>Cincinnati</v>
      </c>
      <c r="U25" s="29"/>
      <c r="V25" s="29"/>
      <c r="W25" s="29"/>
      <c r="X25" s="29"/>
      <c r="Y25" s="29"/>
      <c r="Z25" s="29"/>
      <c r="AA25" s="24"/>
      <c r="AB25" s="24"/>
      <c r="AC25" s="24"/>
      <c r="AD25" s="24"/>
      <c r="AE25" s="24"/>
      <c r="AF25" s="24"/>
      <c r="AG25" s="24"/>
      <c r="AH25" s="24"/>
      <c r="AI25" s="24"/>
    </row>
    <row r="26" spans="1:35" x14ac:dyDescent="0.3">
      <c r="A26" s="24"/>
      <c r="B26" s="24"/>
      <c r="C26" s="24"/>
      <c r="D26" s="24"/>
      <c r="E26" s="24"/>
      <c r="F26" s="24"/>
      <c r="G26" s="24"/>
      <c r="H26" s="24"/>
      <c r="I26" s="24"/>
      <c r="J26" s="24"/>
      <c r="K26" s="24"/>
      <c r="L26" s="24"/>
      <c r="M26" s="24"/>
      <c r="N26" s="24"/>
      <c r="O26" s="24"/>
      <c r="P26" s="24"/>
      <c r="Q26" s="24"/>
      <c r="R26" s="24"/>
      <c r="S26" s="24"/>
      <c r="T26" s="30" t="str">
        <f>'pivot sheet'!A69</f>
        <v>C0003</v>
      </c>
      <c r="U26" s="32">
        <f>'pivot sheet'!B69</f>
        <v>891</v>
      </c>
      <c r="V26" s="32">
        <f>'pivot sheet'!C69</f>
        <v>1332</v>
      </c>
      <c r="W26" s="32">
        <f>'pivot sheet'!D69</f>
        <v>1282</v>
      </c>
      <c r="X26" s="32">
        <f>'pivot sheet'!E69</f>
        <v>739</v>
      </c>
      <c r="Y26" s="32">
        <f>'pivot sheet'!F69</f>
        <v>560</v>
      </c>
      <c r="Z26" s="32">
        <f>'pivot sheet'!G69</f>
        <v>4804</v>
      </c>
      <c r="AA26" s="24"/>
      <c r="AB26" s="24"/>
      <c r="AC26" s="24"/>
      <c r="AD26" s="24"/>
      <c r="AE26" s="24"/>
      <c r="AF26" s="24"/>
      <c r="AG26" s="24"/>
      <c r="AH26" s="24"/>
      <c r="AI26" s="24"/>
    </row>
    <row r="27" spans="1:35" x14ac:dyDescent="0.3">
      <c r="A27" s="24"/>
      <c r="B27" s="24"/>
      <c r="C27" s="24"/>
      <c r="D27" s="24"/>
      <c r="E27" s="24"/>
      <c r="F27" s="24"/>
      <c r="G27" s="24"/>
      <c r="H27" s="24"/>
      <c r="I27" s="24"/>
      <c r="J27" s="24"/>
      <c r="K27" s="24"/>
      <c r="L27" s="24"/>
      <c r="M27" s="24"/>
      <c r="N27" s="24"/>
      <c r="O27" s="24"/>
      <c r="P27" s="24"/>
      <c r="Q27" s="24"/>
      <c r="R27" s="24"/>
      <c r="S27" s="24"/>
      <c r="T27" s="30" t="str">
        <f>'pivot sheet'!A70</f>
        <v>C0004</v>
      </c>
      <c r="U27" s="32">
        <f>'pivot sheet'!B70</f>
        <v>1991</v>
      </c>
      <c r="V27" s="32">
        <f>'pivot sheet'!C70</f>
        <v>1886</v>
      </c>
      <c r="W27" s="32">
        <f>'pivot sheet'!D70</f>
        <v>1206</v>
      </c>
      <c r="X27" s="32">
        <f>'pivot sheet'!E70</f>
        <v>884</v>
      </c>
      <c r="Y27" s="32">
        <f>'pivot sheet'!F70</f>
        <v>1722</v>
      </c>
      <c r="Z27" s="32">
        <f>'pivot sheet'!G70</f>
        <v>7689</v>
      </c>
      <c r="AA27" s="24"/>
      <c r="AB27" s="24"/>
      <c r="AC27" s="24"/>
      <c r="AD27" s="24"/>
      <c r="AE27" s="24"/>
      <c r="AF27" s="24"/>
      <c r="AG27" s="24"/>
      <c r="AH27" s="24"/>
      <c r="AI27" s="24"/>
    </row>
    <row r="28" spans="1:35" ht="17" x14ac:dyDescent="0.3">
      <c r="A28" s="24"/>
      <c r="B28" s="24"/>
      <c r="C28" s="24"/>
      <c r="D28" s="24"/>
      <c r="E28" s="24"/>
      <c r="F28" s="24"/>
      <c r="G28" s="24"/>
      <c r="H28" s="24"/>
      <c r="I28" s="24"/>
      <c r="J28" s="24"/>
      <c r="K28" s="24"/>
      <c r="L28" s="24"/>
      <c r="M28" s="24"/>
      <c r="N28" s="24"/>
      <c r="O28" s="24"/>
      <c r="P28" s="24"/>
      <c r="Q28" s="24"/>
      <c r="R28" s="24"/>
      <c r="S28" s="24"/>
      <c r="T28" s="30" t="str">
        <f>'pivot sheet'!A71</f>
        <v>C0011</v>
      </c>
      <c r="U28" s="32">
        <f>'pivot sheet'!B71</f>
        <v>1163</v>
      </c>
      <c r="V28" s="32">
        <f>'pivot sheet'!C71</f>
        <v>1180</v>
      </c>
      <c r="W28" s="33"/>
      <c r="X28" s="32">
        <f>'pivot sheet'!E71</f>
        <v>1043</v>
      </c>
      <c r="Y28" s="32">
        <f>'pivot sheet'!F71</f>
        <v>1747</v>
      </c>
      <c r="Z28" s="32">
        <f>'pivot sheet'!G71</f>
        <v>6749</v>
      </c>
      <c r="AA28" s="24"/>
      <c r="AB28" s="24"/>
      <c r="AC28" s="24"/>
      <c r="AD28" s="24"/>
      <c r="AE28" s="24"/>
      <c r="AF28" s="24"/>
      <c r="AG28" s="24"/>
      <c r="AH28" s="24"/>
      <c r="AI28" s="24"/>
    </row>
    <row r="29" spans="1:35" x14ac:dyDescent="0.3">
      <c r="A29" s="24"/>
      <c r="B29" s="24"/>
      <c r="C29" s="24"/>
      <c r="D29" s="24"/>
      <c r="E29" s="24"/>
      <c r="F29" s="24"/>
      <c r="G29" s="24"/>
      <c r="H29" s="24"/>
      <c r="I29" s="24"/>
      <c r="J29" s="24"/>
      <c r="K29" s="24"/>
      <c r="L29" s="24"/>
      <c r="M29" s="24"/>
      <c r="N29" s="24"/>
      <c r="O29" s="24"/>
      <c r="P29" s="24"/>
      <c r="Q29" s="24"/>
      <c r="R29" s="24"/>
      <c r="S29" s="24"/>
      <c r="T29" s="30" t="str">
        <f>'pivot sheet'!A72</f>
        <v>C0012</v>
      </c>
      <c r="U29" s="32">
        <f>'pivot sheet'!B72</f>
        <v>1438</v>
      </c>
      <c r="V29" s="32">
        <f>'pivot sheet'!C72</f>
        <v>1616</v>
      </c>
      <c r="W29" s="32">
        <f>'pivot sheet'!D72</f>
        <v>866</v>
      </c>
      <c r="X29" s="32">
        <f>'pivot sheet'!E72</f>
        <v>829</v>
      </c>
      <c r="Y29" s="32">
        <f>'pivot sheet'!F72</f>
        <v>2070</v>
      </c>
      <c r="Z29" s="32">
        <f>'pivot sheet'!G72</f>
        <v>6819</v>
      </c>
      <c r="AA29" s="24"/>
      <c r="AB29" s="24"/>
      <c r="AC29" s="24"/>
      <c r="AD29" s="24"/>
      <c r="AE29" s="24"/>
      <c r="AF29" s="24"/>
      <c r="AG29" s="24"/>
      <c r="AH29" s="24"/>
      <c r="AI29" s="24"/>
    </row>
    <row r="30" spans="1:35" x14ac:dyDescent="0.3">
      <c r="A30" s="24"/>
      <c r="B30" s="24"/>
      <c r="C30" s="24"/>
      <c r="D30" s="24"/>
      <c r="E30" s="24"/>
      <c r="F30" s="24"/>
      <c r="G30" s="24"/>
      <c r="H30" s="24"/>
      <c r="I30" s="24"/>
      <c r="J30" s="24"/>
      <c r="K30" s="24"/>
      <c r="L30" s="24"/>
      <c r="M30" s="24"/>
      <c r="N30" s="24"/>
      <c r="O30" s="24"/>
      <c r="P30" s="24"/>
      <c r="Q30" s="24"/>
      <c r="R30" s="24"/>
      <c r="S30" s="24"/>
      <c r="T30" s="30" t="str">
        <f>'pivot sheet'!A73</f>
        <v>Cleveland</v>
      </c>
      <c r="U30" s="32"/>
      <c r="V30" s="32"/>
      <c r="W30" s="32"/>
      <c r="X30" s="32"/>
      <c r="Y30" s="32"/>
      <c r="Z30" s="32"/>
      <c r="AA30" s="24"/>
      <c r="AB30" s="24"/>
      <c r="AC30" s="24"/>
      <c r="AD30" s="24"/>
      <c r="AE30" s="24"/>
      <c r="AF30" s="24"/>
      <c r="AG30" s="24"/>
      <c r="AH30" s="24"/>
      <c r="AI30" s="24"/>
    </row>
    <row r="31" spans="1:35" x14ac:dyDescent="0.3">
      <c r="A31" s="24"/>
      <c r="B31" s="24"/>
      <c r="C31" s="24"/>
      <c r="D31" s="24"/>
      <c r="E31" s="24"/>
      <c r="F31" s="24"/>
      <c r="G31" s="24"/>
      <c r="H31" s="24"/>
      <c r="I31" s="24"/>
      <c r="J31" s="24"/>
      <c r="K31" s="24"/>
      <c r="L31" s="24"/>
      <c r="M31" s="24"/>
      <c r="N31" s="24"/>
      <c r="O31" s="24"/>
      <c r="P31" s="24"/>
      <c r="Q31" s="24"/>
      <c r="R31" s="24"/>
      <c r="S31" s="24"/>
      <c r="T31" s="30" t="str">
        <f>'pivot sheet'!A74</f>
        <v>C0002</v>
      </c>
      <c r="U31" s="32">
        <f>'pivot sheet'!B74</f>
        <v>1233</v>
      </c>
      <c r="V31" s="32">
        <f>'pivot sheet'!C74</f>
        <v>223</v>
      </c>
      <c r="W31" s="32">
        <f>'pivot sheet'!D74</f>
        <v>1680</v>
      </c>
      <c r="X31" s="32">
        <f>'pivot sheet'!E74</f>
        <v>990</v>
      </c>
      <c r="Y31" s="32">
        <f>'pivot sheet'!F74</f>
        <v>1508</v>
      </c>
      <c r="Z31" s="32">
        <f>'pivot sheet'!G74</f>
        <v>5634</v>
      </c>
      <c r="AA31" s="24"/>
      <c r="AB31" s="24"/>
      <c r="AC31" s="24"/>
      <c r="AD31" s="24"/>
      <c r="AE31" s="24"/>
      <c r="AF31" s="24"/>
      <c r="AG31" s="24"/>
      <c r="AH31" s="24"/>
      <c r="AI31" s="24"/>
    </row>
    <row r="32" spans="1:35" x14ac:dyDescent="0.3">
      <c r="A32" s="24"/>
      <c r="B32" s="24"/>
      <c r="C32" s="24"/>
      <c r="D32" s="24"/>
      <c r="E32" s="24"/>
      <c r="F32" s="24"/>
      <c r="G32" s="24"/>
      <c r="H32" s="24"/>
      <c r="I32" s="24"/>
      <c r="J32" s="24"/>
      <c r="K32" s="24"/>
      <c r="L32" s="24"/>
      <c r="M32" s="24"/>
      <c r="N32" s="24"/>
      <c r="O32" s="24"/>
      <c r="P32" s="24"/>
      <c r="Q32" s="24"/>
      <c r="R32" s="24"/>
      <c r="S32" s="24"/>
      <c r="T32" s="30" t="str">
        <f>'pivot sheet'!A75</f>
        <v>C0007</v>
      </c>
      <c r="U32" s="32">
        <f>'pivot sheet'!B75</f>
        <v>1598</v>
      </c>
      <c r="V32" s="32">
        <f>'pivot sheet'!C75</f>
        <v>1907</v>
      </c>
      <c r="W32" s="32">
        <f>'pivot sheet'!D75</f>
        <v>869</v>
      </c>
      <c r="X32" s="32">
        <f>'pivot sheet'!E75</f>
        <v>1426</v>
      </c>
      <c r="Y32" s="32">
        <f>'pivot sheet'!F75</f>
        <v>1416</v>
      </c>
      <c r="Z32" s="32">
        <f>'pivot sheet'!G75</f>
        <v>7216</v>
      </c>
      <c r="AA32" s="24"/>
      <c r="AB32" s="24"/>
      <c r="AC32" s="24"/>
      <c r="AD32" s="24"/>
      <c r="AE32" s="24"/>
      <c r="AF32" s="24"/>
      <c r="AG32" s="24"/>
      <c r="AH32" s="24"/>
      <c r="AI32" s="24"/>
    </row>
    <row r="33" spans="1:35" x14ac:dyDescent="0.3">
      <c r="A33" s="24"/>
      <c r="B33" s="24"/>
      <c r="C33" s="24"/>
      <c r="D33" s="24"/>
      <c r="E33" s="24"/>
      <c r="F33" s="24"/>
      <c r="G33" s="24"/>
      <c r="H33" s="24"/>
      <c r="I33" s="24"/>
      <c r="J33" s="24"/>
      <c r="K33" s="24"/>
      <c r="L33" s="24"/>
      <c r="M33" s="24"/>
      <c r="N33" s="24"/>
      <c r="O33" s="24"/>
      <c r="P33" s="24"/>
      <c r="Q33" s="24"/>
      <c r="R33" s="24"/>
      <c r="S33" s="24"/>
      <c r="T33" s="30" t="str">
        <f>'pivot sheet'!A76</f>
        <v>C0008</v>
      </c>
      <c r="U33" s="32">
        <f>'pivot sheet'!B76</f>
        <v>900</v>
      </c>
      <c r="V33" s="32">
        <f>'pivot sheet'!C76</f>
        <v>1016</v>
      </c>
      <c r="W33" s="32">
        <f>'pivot sheet'!D76</f>
        <v>960</v>
      </c>
      <c r="X33" s="32">
        <f>'pivot sheet'!E76</f>
        <v>940</v>
      </c>
      <c r="Y33" s="32">
        <f>'pivot sheet'!F76</f>
        <v>1193</v>
      </c>
      <c r="Z33" s="32">
        <f>'pivot sheet'!G76</f>
        <v>5009</v>
      </c>
      <c r="AA33" s="24"/>
      <c r="AB33" s="24"/>
      <c r="AC33" s="24"/>
      <c r="AD33" s="24"/>
      <c r="AE33" s="24"/>
      <c r="AF33" s="24"/>
      <c r="AG33" s="24"/>
      <c r="AH33" s="24"/>
      <c r="AI33" s="24"/>
    </row>
    <row r="34" spans="1:35" x14ac:dyDescent="0.3">
      <c r="A34" s="24"/>
      <c r="B34" s="24"/>
      <c r="C34" s="24"/>
      <c r="D34" s="24"/>
      <c r="E34" s="24"/>
      <c r="F34" s="24"/>
      <c r="G34" s="24"/>
      <c r="H34" s="24"/>
      <c r="I34" s="24"/>
      <c r="J34" s="24"/>
      <c r="K34" s="24"/>
      <c r="L34" s="24"/>
      <c r="M34" s="24"/>
      <c r="N34" s="24"/>
      <c r="O34" s="24"/>
      <c r="P34" s="24"/>
      <c r="Q34" s="24"/>
      <c r="R34" s="24"/>
      <c r="S34" s="24"/>
      <c r="T34" s="30" t="str">
        <f>'pivot sheet'!A77</f>
        <v>C0010</v>
      </c>
      <c r="U34" s="32">
        <f>'pivot sheet'!B77</f>
        <v>900</v>
      </c>
      <c r="V34" s="32">
        <f>'pivot sheet'!C77</f>
        <v>1470</v>
      </c>
      <c r="W34" s="32">
        <f>'pivot sheet'!D77</f>
        <v>1617</v>
      </c>
      <c r="X34" s="32">
        <f>'pivot sheet'!E77</f>
        <v>1314</v>
      </c>
      <c r="Y34" s="32">
        <f>'pivot sheet'!F77</f>
        <v>941</v>
      </c>
      <c r="Z34" s="32">
        <f>'pivot sheet'!G77</f>
        <v>6242</v>
      </c>
      <c r="AA34" s="24"/>
      <c r="AB34" s="24"/>
      <c r="AC34" s="24"/>
      <c r="AD34" s="24"/>
      <c r="AE34" s="24"/>
      <c r="AF34" s="24"/>
      <c r="AG34" s="24"/>
      <c r="AH34" s="24"/>
      <c r="AI34" s="24"/>
    </row>
    <row r="35" spans="1:35" x14ac:dyDescent="0.3">
      <c r="A35" s="24"/>
      <c r="B35" s="24"/>
      <c r="C35" s="24"/>
      <c r="D35" s="24"/>
      <c r="E35" s="24"/>
      <c r="F35" s="24"/>
      <c r="G35" s="24"/>
      <c r="H35" s="24"/>
      <c r="I35" s="24"/>
      <c r="J35" s="24"/>
      <c r="K35" s="24"/>
      <c r="L35" s="24"/>
      <c r="M35" s="24"/>
      <c r="N35" s="24"/>
      <c r="O35" s="24"/>
      <c r="P35" s="24"/>
      <c r="Q35" s="24"/>
      <c r="R35" s="24"/>
      <c r="S35" s="24"/>
      <c r="T35" s="30" t="str">
        <f>'pivot sheet'!A78</f>
        <v>C0013</v>
      </c>
      <c r="U35" s="32">
        <f>'pivot sheet'!B78</f>
        <v>1255</v>
      </c>
      <c r="V35" s="32">
        <f>'pivot sheet'!C78</f>
        <v>516</v>
      </c>
      <c r="W35" s="32">
        <f>'pivot sheet'!D78</f>
        <v>1874</v>
      </c>
      <c r="X35" s="32">
        <f>'pivot sheet'!E78</f>
        <v>1863</v>
      </c>
      <c r="Y35" s="32">
        <f>'pivot sheet'!F78</f>
        <v>1722</v>
      </c>
      <c r="Z35" s="32">
        <f>'pivot sheet'!G78</f>
        <v>7230</v>
      </c>
      <c r="AA35" s="24"/>
      <c r="AB35" s="24"/>
      <c r="AC35" s="24"/>
      <c r="AD35" s="24"/>
      <c r="AE35" s="24"/>
      <c r="AF35" s="24"/>
      <c r="AG35" s="24"/>
      <c r="AH35" s="24"/>
      <c r="AI35" s="24"/>
    </row>
    <row r="36" spans="1:35" x14ac:dyDescent="0.3">
      <c r="A36" s="24"/>
      <c r="B36" s="24"/>
      <c r="C36" s="24"/>
      <c r="D36" s="24"/>
      <c r="E36" s="24"/>
      <c r="F36" s="24"/>
      <c r="G36" s="24"/>
      <c r="H36" s="24"/>
      <c r="I36" s="24"/>
      <c r="J36" s="24"/>
      <c r="K36" s="24"/>
      <c r="L36" s="24"/>
      <c r="M36" s="24"/>
      <c r="N36" s="24"/>
      <c r="O36" s="24"/>
      <c r="P36" s="24"/>
      <c r="Q36" s="24"/>
      <c r="R36" s="24"/>
      <c r="S36" s="24"/>
      <c r="T36" s="30" t="str">
        <f>'pivot sheet'!A79</f>
        <v>C0015</v>
      </c>
      <c r="U36" s="32">
        <f>'pivot sheet'!B79</f>
        <v>1138</v>
      </c>
      <c r="V36" s="32">
        <f>'pivot sheet'!C79</f>
        <v>1898</v>
      </c>
      <c r="W36" s="32">
        <f>'pivot sheet'!D79</f>
        <v>1482</v>
      </c>
      <c r="X36" s="32">
        <f>'pivot sheet'!E79</f>
        <v>846</v>
      </c>
      <c r="Y36" s="32">
        <f>'pivot sheet'!F79</f>
        <v>1154</v>
      </c>
      <c r="Z36" s="32">
        <f>'pivot sheet'!G79</f>
        <v>6518</v>
      </c>
      <c r="AA36" s="24"/>
      <c r="AB36" s="24"/>
      <c r="AC36" s="24"/>
      <c r="AD36" s="24"/>
      <c r="AE36" s="24"/>
      <c r="AF36" s="24"/>
      <c r="AG36" s="24"/>
      <c r="AH36" s="24"/>
      <c r="AI36" s="24"/>
    </row>
    <row r="37" spans="1:35" x14ac:dyDescent="0.3">
      <c r="A37" s="24"/>
      <c r="B37" s="24"/>
      <c r="C37" s="24"/>
      <c r="D37" s="24"/>
      <c r="E37" s="24"/>
      <c r="F37" s="24"/>
      <c r="G37" s="24"/>
      <c r="H37" s="24"/>
      <c r="I37" s="24"/>
      <c r="J37" s="24"/>
      <c r="K37" s="24"/>
      <c r="L37" s="24"/>
      <c r="M37" s="24"/>
      <c r="N37" s="24"/>
      <c r="O37" s="24"/>
      <c r="P37" s="24"/>
      <c r="Q37" s="24"/>
      <c r="R37" s="24"/>
      <c r="S37" s="24"/>
      <c r="T37" s="30" t="str">
        <f>'pivot sheet'!A80</f>
        <v>Columbus</v>
      </c>
      <c r="U37" s="32"/>
      <c r="V37" s="32"/>
      <c r="W37" s="32"/>
      <c r="X37" s="32"/>
      <c r="Y37" s="32"/>
      <c r="Z37" s="32"/>
      <c r="AA37" s="24"/>
      <c r="AB37" s="24"/>
      <c r="AC37" s="24"/>
      <c r="AD37" s="24"/>
      <c r="AE37" s="24"/>
      <c r="AF37" s="24"/>
      <c r="AG37" s="24"/>
      <c r="AH37" s="24"/>
      <c r="AI37" s="24"/>
    </row>
    <row r="38" spans="1:35" x14ac:dyDescent="0.3">
      <c r="A38" s="24"/>
      <c r="B38" s="24"/>
      <c r="C38" s="24"/>
      <c r="D38" s="24"/>
      <c r="E38" s="24"/>
      <c r="F38" s="24"/>
      <c r="G38" s="24"/>
      <c r="H38" s="24"/>
      <c r="I38" s="24"/>
      <c r="J38" s="24"/>
      <c r="K38" s="24"/>
      <c r="L38" s="24"/>
      <c r="M38" s="24"/>
      <c r="N38" s="24"/>
      <c r="O38" s="24"/>
      <c r="P38" s="24"/>
      <c r="Q38" s="24"/>
      <c r="R38" s="24"/>
      <c r="S38" s="24"/>
      <c r="T38" s="30" t="str">
        <f>'pivot sheet'!A81</f>
        <v>C0001</v>
      </c>
      <c r="U38" s="32">
        <f>'pivot sheet'!B81</f>
        <v>1655</v>
      </c>
      <c r="V38" s="32">
        <f>'pivot sheet'!C81</f>
        <v>805</v>
      </c>
      <c r="W38" s="32">
        <f>'pivot sheet'!D81</f>
        <v>2263</v>
      </c>
      <c r="X38" s="32">
        <f>'pivot sheet'!E81</f>
        <v>987</v>
      </c>
      <c r="Y38" s="32">
        <f>'pivot sheet'!F81</f>
        <v>1075</v>
      </c>
      <c r="Z38" s="32">
        <f>'pivot sheet'!G81</f>
        <v>6785</v>
      </c>
      <c r="AA38" s="24"/>
      <c r="AB38" s="24"/>
      <c r="AC38" s="24"/>
      <c r="AD38" s="24"/>
      <c r="AE38" s="24"/>
      <c r="AF38" s="24"/>
      <c r="AG38" s="24"/>
      <c r="AH38" s="24"/>
      <c r="AI38" s="24"/>
    </row>
    <row r="39" spans="1:35" x14ac:dyDescent="0.3">
      <c r="A39" s="24"/>
      <c r="B39" s="24"/>
      <c r="C39" s="24"/>
      <c r="D39" s="24"/>
      <c r="E39" s="24"/>
      <c r="F39" s="24"/>
      <c r="G39" s="24"/>
      <c r="H39" s="24"/>
      <c r="I39" s="24"/>
      <c r="J39" s="24"/>
      <c r="K39" s="24"/>
      <c r="L39" s="24"/>
      <c r="M39" s="24"/>
      <c r="N39" s="24"/>
      <c r="O39" s="24"/>
      <c r="P39" s="24"/>
      <c r="Q39" s="24"/>
      <c r="R39" s="24"/>
      <c r="S39" s="24"/>
      <c r="T39" s="30" t="str">
        <f>'pivot sheet'!A82</f>
        <v>C0005</v>
      </c>
      <c r="U39" s="32">
        <f>'pivot sheet'!B82</f>
        <v>1104</v>
      </c>
      <c r="V39" s="32">
        <f>'pivot sheet'!C82</f>
        <v>2280</v>
      </c>
      <c r="W39" s="32">
        <f>'pivot sheet'!D82</f>
        <v>1445</v>
      </c>
      <c r="X39" s="32">
        <f>'pivot sheet'!E82</f>
        <v>1722</v>
      </c>
      <c r="Y39" s="32">
        <f>'pivot sheet'!F82</f>
        <v>1196</v>
      </c>
      <c r="Z39" s="32">
        <f>'pivot sheet'!G82</f>
        <v>7747</v>
      </c>
      <c r="AA39" s="24"/>
      <c r="AB39" s="24"/>
      <c r="AC39" s="24"/>
      <c r="AD39" s="24"/>
      <c r="AE39" s="24"/>
      <c r="AF39" s="24"/>
      <c r="AG39" s="24"/>
      <c r="AH39" s="24"/>
      <c r="AI39" s="24"/>
    </row>
    <row r="40" spans="1:35" x14ac:dyDescent="0.3">
      <c r="A40" s="24"/>
      <c r="B40" s="24"/>
      <c r="C40" s="24"/>
      <c r="D40" s="24"/>
      <c r="E40" s="24"/>
      <c r="F40" s="24"/>
      <c r="G40" s="24"/>
      <c r="H40" s="24"/>
      <c r="I40" s="24"/>
      <c r="J40" s="24"/>
      <c r="K40" s="24"/>
      <c r="L40" s="24"/>
      <c r="M40" s="24"/>
      <c r="N40" s="24"/>
      <c r="O40" s="24"/>
      <c r="P40" s="24"/>
      <c r="Q40" s="24"/>
      <c r="R40" s="24"/>
      <c r="S40" s="24"/>
      <c r="T40" s="30" t="str">
        <f>'pivot sheet'!A83</f>
        <v>C0006</v>
      </c>
      <c r="U40" s="32">
        <f>'pivot sheet'!B83</f>
        <v>372</v>
      </c>
      <c r="V40" s="32">
        <f>'pivot sheet'!C83</f>
        <v>1818</v>
      </c>
      <c r="W40" s="32">
        <f>'pivot sheet'!D83</f>
        <v>1346</v>
      </c>
      <c r="X40" s="32">
        <f>'pivot sheet'!E83</f>
        <v>1156</v>
      </c>
      <c r="Y40" s="32">
        <f>'pivot sheet'!F83</f>
        <v>1484</v>
      </c>
      <c r="Z40" s="32">
        <f>'pivot sheet'!G83</f>
        <v>6176</v>
      </c>
      <c r="AA40" s="24"/>
      <c r="AB40" s="24"/>
      <c r="AC40" s="24"/>
      <c r="AD40" s="24"/>
      <c r="AE40" s="24"/>
      <c r="AF40" s="24"/>
      <c r="AG40" s="24"/>
      <c r="AH40" s="24"/>
      <c r="AI40" s="24"/>
    </row>
    <row r="41" spans="1:35" x14ac:dyDescent="0.3">
      <c r="A41" s="24"/>
      <c r="B41" s="24"/>
      <c r="C41" s="24"/>
      <c r="D41" s="24"/>
      <c r="E41" s="24"/>
      <c r="F41" s="24"/>
      <c r="G41" s="24"/>
      <c r="H41" s="24"/>
      <c r="I41" s="24"/>
      <c r="J41" s="24"/>
      <c r="K41" s="24"/>
      <c r="L41" s="24"/>
      <c r="M41" s="24"/>
      <c r="N41" s="24"/>
      <c r="O41" s="24"/>
      <c r="P41" s="24"/>
      <c r="Q41" s="24"/>
      <c r="R41" s="24"/>
      <c r="S41" s="24"/>
      <c r="T41" s="30" t="str">
        <f>'pivot sheet'!A84</f>
        <v>C0009</v>
      </c>
      <c r="U41" s="32">
        <f>'pivot sheet'!B84</f>
        <v>1415</v>
      </c>
      <c r="V41" s="32">
        <f>'pivot sheet'!C84</f>
        <v>1271</v>
      </c>
      <c r="W41" s="32">
        <f>'pivot sheet'!D84</f>
        <v>1214</v>
      </c>
      <c r="X41" s="32">
        <f>'pivot sheet'!E84</f>
        <v>1135</v>
      </c>
      <c r="Y41" s="32">
        <f>'pivot sheet'!F84</f>
        <v>1566</v>
      </c>
      <c r="Z41" s="32">
        <f>'pivot sheet'!G84</f>
        <v>6601</v>
      </c>
      <c r="AA41" s="24"/>
      <c r="AB41" s="24"/>
      <c r="AC41" s="24"/>
      <c r="AD41" s="24"/>
      <c r="AE41" s="24"/>
      <c r="AF41" s="24"/>
      <c r="AG41" s="24"/>
      <c r="AH41" s="24"/>
      <c r="AI41" s="24"/>
    </row>
    <row r="42" spans="1:35" x14ac:dyDescent="0.3">
      <c r="A42" s="24"/>
      <c r="B42" s="24"/>
      <c r="C42" s="24"/>
      <c r="D42" s="24"/>
      <c r="E42" s="24"/>
      <c r="F42" s="24"/>
      <c r="G42" s="24"/>
      <c r="H42" s="24"/>
      <c r="I42" s="24"/>
      <c r="J42" s="24"/>
      <c r="K42" s="24"/>
      <c r="L42" s="24"/>
      <c r="M42" s="24"/>
      <c r="N42" s="24"/>
      <c r="O42" s="24"/>
      <c r="P42" s="24"/>
      <c r="Q42" s="24"/>
      <c r="R42" s="24"/>
      <c r="S42" s="24"/>
      <c r="T42" s="30" t="str">
        <f>'pivot sheet'!A85</f>
        <v>C0014</v>
      </c>
      <c r="U42" s="32">
        <f>'pivot sheet'!B85</f>
        <v>1362</v>
      </c>
      <c r="V42" s="32">
        <f>'pivot sheet'!C85</f>
        <v>1363</v>
      </c>
      <c r="W42" s="32">
        <f>'pivot sheet'!D85</f>
        <v>1152</v>
      </c>
      <c r="X42" s="32">
        <f>'pivot sheet'!E85</f>
        <v>777</v>
      </c>
      <c r="Y42" s="32">
        <f>'pivot sheet'!F85</f>
        <v>750</v>
      </c>
      <c r="Z42" s="32">
        <f>'pivot sheet'!G85</f>
        <v>5404</v>
      </c>
      <c r="AA42" s="24"/>
      <c r="AB42" s="24"/>
      <c r="AC42" s="24"/>
      <c r="AD42" s="24"/>
      <c r="AE42" s="24"/>
      <c r="AF42" s="24"/>
      <c r="AG42" s="24"/>
      <c r="AH42" s="24"/>
      <c r="AI42" s="24"/>
    </row>
    <row r="43" spans="1:35" x14ac:dyDescent="0.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row>
    <row r="44" spans="1:35" x14ac:dyDescent="0.3">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row>
    <row r="45" spans="1:35" x14ac:dyDescent="0.3">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row>
    <row r="46" spans="1:35" x14ac:dyDescent="0.3">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row>
    <row r="47" spans="1:35" x14ac:dyDescent="0.3">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row>
    <row r="48" spans="1:35" x14ac:dyDescent="0.3">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row>
    <row r="49" spans="1:35" x14ac:dyDescent="0.3">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row>
    <row r="50" spans="1:35" x14ac:dyDescent="0.3">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row>
    <row r="51" spans="1:35" x14ac:dyDescent="0.3">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row>
    <row r="52" spans="1:35" x14ac:dyDescent="0.3">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row>
    <row r="53" spans="1:35" x14ac:dyDescent="0.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row>
    <row r="54" spans="1:35" x14ac:dyDescent="0.3">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row>
    <row r="55" spans="1:35" x14ac:dyDescent="0.3">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row>
    <row r="56" spans="1:35" x14ac:dyDescent="0.3">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row>
    <row r="57" spans="1:35" x14ac:dyDescent="0.3">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row>
    <row r="58" spans="1:35" x14ac:dyDescent="0.3">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row>
    <row r="59" spans="1:35" x14ac:dyDescent="0.3">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row>
    <row r="60" spans="1:35" x14ac:dyDescent="0.3">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row>
    <row r="61" spans="1:35" x14ac:dyDescent="0.3">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row>
    <row r="62" spans="1:35" x14ac:dyDescent="0.3">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row>
    <row r="63" spans="1:35" x14ac:dyDescent="0.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row>
    <row r="64" spans="1:35" x14ac:dyDescent="0.3">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row>
    <row r="65" spans="1:35" x14ac:dyDescent="0.3">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row>
    <row r="66" spans="1:35" x14ac:dyDescent="0.3">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row>
  </sheetData>
  <conditionalFormatting sqref="T24:Z42">
    <cfRule type="dataBar" priority="2">
      <dataBar>
        <cfvo type="min"/>
        <cfvo type="max"/>
        <color rgb="FFFFB628"/>
      </dataBar>
      <extLst>
        <ext xmlns:x14="http://schemas.microsoft.com/office/spreadsheetml/2009/9/main" uri="{B025F937-C7B1-47D3-B67F-A62EFF666E3E}">
          <x14:id>{2D5FB5FF-857A-4AC2-A4F0-75FCD973BE23}</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2D5FB5FF-857A-4AC2-A4F0-75FCD973BE23}">
            <x14:dataBar minLength="0" maxLength="100" border="1" negativeBarBorderColorSameAsPositive="0">
              <x14:cfvo type="autoMin"/>
              <x14:cfvo type="autoMax"/>
              <x14:borderColor rgb="FFFFB628"/>
              <x14:negativeFillColor rgb="FFFF0000"/>
              <x14:negativeBorderColor rgb="FFFF0000"/>
              <x14:axisColor rgb="FF000000"/>
            </x14:dataBar>
          </x14:cfRule>
          <xm:sqref>T24:Z42</xm:sqref>
        </x14:conditionalFormatting>
        <x14:conditionalFormatting xmlns:xm="http://schemas.microsoft.com/office/excel/2006/main">
          <x14:cfRule type="expression" priority="1" id="{EF200340-A592-4B0D-B6E8-BC7A9570EF2D}">
            <xm:f>U$24='pivot sheet'!$A$42</xm:f>
            <x14:dxf>
              <fill>
                <patternFill>
                  <bgColor theme="6" tint="0.39994506668294322"/>
                </patternFill>
              </fill>
            </x14:dxf>
          </x14:cfRule>
          <xm:sqref>U24:Y42</xm:sqref>
        </x14:conditionalFormatting>
      </x14:conditionalFormattings>
    </ex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50" zoomScaleNormal="115" workbookViewId="0">
      <selection activeCell="Q3" sqref="Q3:T3"/>
    </sheetView>
  </sheetViews>
  <sheetFormatPr defaultRowHeight="14" x14ac:dyDescent="0.3"/>
  <cols>
    <col min="1" max="1" width="3.25" customWidth="1"/>
    <col min="2" max="2" width="14.58203125" customWidth="1"/>
    <col min="3" max="3" width="12.83203125" customWidth="1"/>
    <col min="4" max="4" width="16.58203125" customWidth="1"/>
    <col min="5" max="5" width="15" customWidth="1"/>
    <col min="6" max="6" width="16.08203125" customWidth="1"/>
    <col min="7" max="7" width="17.25" customWidth="1"/>
    <col min="8" max="8" width="18.33203125" customWidth="1"/>
    <col min="9" max="9" width="17.25" customWidth="1"/>
    <col min="10" max="12" width="15.5" customWidth="1"/>
    <col min="13" max="13" width="11.6640625" customWidth="1"/>
    <col min="14" max="16" width="7.5" customWidth="1"/>
    <col min="17" max="17" width="14.58203125" customWidth="1"/>
    <col min="20" max="20" width="10.582031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sheet</vt:lpstr>
      <vt:lpstr>customer report analysis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siva sai</cp:lastModifiedBy>
  <dcterms:created xsi:type="dcterms:W3CDTF">2021-03-14T20:21:32Z</dcterms:created>
  <dcterms:modified xsi:type="dcterms:W3CDTF">2026-01-30T16:39:59Z</dcterms:modified>
</cp:coreProperties>
</file>